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Hank\Google 雲端硬碟\WP File Download - Template City\Chinese\新增資料夾\1243word70款\70款企业公司报价单Excel模板\Excel模板\編號960875簡約深藍商務通用報價單Excel報價模板\"/>
    </mc:Choice>
  </mc:AlternateContent>
  <bookViews>
    <workbookView xWindow="0" yWindow="9000" windowWidth="28800" windowHeight="12120"/>
  </bookViews>
  <sheets>
    <sheet name="表格" sheetId="1" r:id="rId1"/>
    <sheet name="设置" sheetId="2" r:id="rId2"/>
  </sheet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5" i="1" l="1"/>
  <c r="H44" i="1"/>
  <c r="H43" i="1"/>
  <c r="C43" i="1"/>
  <c r="H42" i="1"/>
  <c r="I38" i="1"/>
  <c r="I35" i="1"/>
  <c r="I32" i="1"/>
  <c r="I29" i="1"/>
  <c r="I26" i="1"/>
  <c r="I23" i="1"/>
  <c r="I20" i="1"/>
  <c r="I17" i="1"/>
  <c r="I14" i="1"/>
  <c r="I9" i="1"/>
  <c r="I8" i="1"/>
</calcChain>
</file>

<file path=xl/sharedStrings.xml><?xml version="1.0" encoding="utf-8"?>
<sst xmlns="http://schemas.openxmlformats.org/spreadsheetml/2006/main" count="77" uniqueCount="56">
  <si>
    <t>有效期至：</t>
    <phoneticPr fontId="1" type="noConversion"/>
  </si>
  <si>
    <t>某某人</t>
    <phoneticPr fontId="1" type="noConversion"/>
  </si>
  <si>
    <t>折扣</t>
    <phoneticPr fontId="1" type="noConversion"/>
  </si>
  <si>
    <r>
      <rPr>
        <b/>
        <sz val="9"/>
        <color rgb="FF354E68"/>
        <rFont val="微软雅黑"/>
        <family val="2"/>
        <charset val="134"/>
      </rPr>
      <t xml:space="preserve">P. </t>
    </r>
    <r>
      <rPr>
        <sz val="9"/>
        <color rgb="FF354E68"/>
        <rFont val="微软雅黑"/>
        <family val="2"/>
        <charset val="134"/>
      </rPr>
      <t>[ +86 ] 010 12345678</t>
    </r>
    <phoneticPr fontId="1" type="noConversion"/>
  </si>
  <si>
    <r>
      <rPr>
        <b/>
        <sz val="9"/>
        <color rgb="FF354E68"/>
        <rFont val="微软雅黑"/>
        <family val="2"/>
        <charset val="134"/>
      </rPr>
      <t xml:space="preserve">E. </t>
    </r>
    <r>
      <rPr>
        <sz val="9"/>
        <color rgb="FF354E68"/>
        <rFont val="微软雅黑"/>
        <family val="2"/>
        <charset val="134"/>
      </rPr>
      <t>name@url.com</t>
    </r>
    <phoneticPr fontId="1" type="noConversion"/>
  </si>
  <si>
    <t>收款方式</t>
    <phoneticPr fontId="1" type="noConversion"/>
  </si>
  <si>
    <t>单位设置：</t>
  </si>
  <si>
    <t>件</t>
  </si>
  <si>
    <t>个</t>
  </si>
  <si>
    <t>吨</t>
  </si>
  <si>
    <t>g</t>
  </si>
  <si>
    <t>增值税设置：</t>
  </si>
  <si>
    <t>折扣：</t>
  </si>
  <si>
    <t>收款方式：</t>
    <phoneticPr fontId="1" type="noConversion"/>
  </si>
  <si>
    <t>现金</t>
    <phoneticPr fontId="1" type="noConversion"/>
  </si>
  <si>
    <t>银行转账</t>
    <phoneticPr fontId="1" type="noConversion"/>
  </si>
  <si>
    <t>支付宝</t>
    <phoneticPr fontId="1" type="noConversion"/>
  </si>
  <si>
    <t>微信支付</t>
    <phoneticPr fontId="1" type="noConversion"/>
  </si>
  <si>
    <t>收款账号：</t>
    <phoneticPr fontId="1" type="noConversion"/>
  </si>
  <si>
    <t>无</t>
    <phoneticPr fontId="1" type="noConversion"/>
  </si>
  <si>
    <t>123456@url.com</t>
    <phoneticPr fontId="1" type="noConversion"/>
  </si>
  <si>
    <t>wxid_123456</t>
    <phoneticPr fontId="1" type="noConversion"/>
  </si>
  <si>
    <r>
      <rPr>
        <b/>
        <sz val="9"/>
        <color theme="0"/>
        <rFont val="微软雅黑"/>
        <family val="2"/>
        <charset val="134"/>
      </rPr>
      <t>P.</t>
    </r>
    <r>
      <rPr>
        <sz val="9"/>
        <color theme="0"/>
        <rFont val="微软雅黑"/>
        <family val="2"/>
        <charset val="134"/>
      </rPr>
      <t>（+86）010 12345678</t>
    </r>
    <phoneticPr fontId="1" type="noConversion"/>
  </si>
  <si>
    <r>
      <rPr>
        <b/>
        <sz val="9"/>
        <color theme="0"/>
        <rFont val="微软雅黑"/>
        <family val="2"/>
        <charset val="134"/>
      </rPr>
      <t>E.</t>
    </r>
    <r>
      <rPr>
        <sz val="9"/>
        <color theme="0"/>
        <rFont val="微软雅黑"/>
        <family val="2"/>
        <charset val="134"/>
      </rPr>
      <t xml:space="preserve">   name@url.com</t>
    </r>
    <phoneticPr fontId="1" type="noConversion"/>
  </si>
  <si>
    <t>微信支付</t>
  </si>
  <si>
    <t>報 價 單</t>
    <phoneticPr fontId="1" type="noConversion"/>
  </si>
  <si>
    <t>購貨單位名稱 - [ XXX有限責任公司 ]</t>
    <phoneticPr fontId="1" type="noConversion"/>
  </si>
  <si>
    <t>表單編號：BDNo.123456</t>
    <phoneticPr fontId="1" type="noConversion"/>
  </si>
  <si>
    <t>[ 連絡人姓名 ]/[ 連絡人職務 ]</t>
    <phoneticPr fontId="1" type="noConversion"/>
  </si>
  <si>
    <t>客戶編號：KHNo.123456</t>
    <phoneticPr fontId="1" type="noConversion"/>
  </si>
  <si>
    <t>A. 省份州市所在地區 123號 [ 附加地址 ]</t>
    <phoneticPr fontId="1" type="noConversion"/>
  </si>
  <si>
    <t>銷售人員：</t>
    <phoneticPr fontId="1" type="noConversion"/>
  </si>
  <si>
    <t>報價日期：</t>
    <phoneticPr fontId="1" type="noConversion"/>
  </si>
  <si>
    <t>貨物或應稅勞務、服務名稱</t>
    <phoneticPr fontId="1" type="noConversion"/>
  </si>
  <si>
    <t>數量</t>
    <phoneticPr fontId="1" type="noConversion"/>
  </si>
  <si>
    <t>單價</t>
    <phoneticPr fontId="1" type="noConversion"/>
  </si>
  <si>
    <t>金額</t>
    <phoneticPr fontId="1" type="noConversion"/>
  </si>
  <si>
    <t>備註：這裡填寫此項的附加資訊。</t>
    <phoneticPr fontId="1" type="noConversion"/>
  </si>
  <si>
    <t>備註：這裡填寫此項的附加資訊。</t>
    <phoneticPr fontId="1" type="noConversion"/>
  </si>
  <si>
    <t>個</t>
    <phoneticPr fontId="1" type="noConversion"/>
  </si>
  <si>
    <t>個</t>
    <phoneticPr fontId="1" type="noConversion"/>
  </si>
  <si>
    <t>貨物或應稅勞務、服務名稱</t>
    <phoneticPr fontId="1" type="noConversion"/>
  </si>
  <si>
    <t>噸</t>
    <phoneticPr fontId="1" type="noConversion"/>
  </si>
  <si>
    <t>收款帳號</t>
    <phoneticPr fontId="1" type="noConversion"/>
  </si>
  <si>
    <t>小計</t>
    <phoneticPr fontId="1" type="noConversion"/>
  </si>
  <si>
    <t>稅金</t>
    <phoneticPr fontId="1" type="noConversion"/>
  </si>
  <si>
    <t>客戶需求</t>
    <phoneticPr fontId="1" type="noConversion"/>
  </si>
  <si>
    <t>無其他需求</t>
    <phoneticPr fontId="1" type="noConversion"/>
  </si>
  <si>
    <t>合計</t>
    <phoneticPr fontId="1" type="noConversion"/>
  </si>
  <si>
    <t>條款與條例</t>
    <phoneticPr fontId="1" type="noConversion"/>
  </si>
  <si>
    <t>1、按實際情況更改條款和條例內容，此處作為參考。</t>
    <phoneticPr fontId="1" type="noConversion"/>
  </si>
  <si>
    <t>2、按實際情況更改條款和條例內容，此處作為參考。按實際情況更改條款和條例內容，此處作為參考。按實際情況更改條款和條例內容，此處作為參考。</t>
    <phoneticPr fontId="1" type="noConversion"/>
  </si>
  <si>
    <t>3、按實際情況更改條款和條例內容，此處作為參考。按實際情況更改條款和條例內容，此處作為參考。</t>
    <phoneticPr fontId="1" type="noConversion"/>
  </si>
  <si>
    <t>單位蓋章</t>
    <phoneticPr fontId="1" type="noConversion"/>
  </si>
  <si>
    <t>負責人簽字</t>
    <phoneticPr fontId="1" type="noConversion"/>
  </si>
  <si>
    <t>A. 你的省份州市所在地區 123號 [ 附加地址 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</si>
</sst>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&quot;¥&quot;#,##0.00;&quot;¥&quot;\-#,##0.00"/>
    <numFmt numFmtId="177" formatCode="&quot;¥&quot;\ #,##0.00;&quot;¥&quot;\ \-#,##0.00"/>
  </numFmts>
  <fonts count="16">
    <font>
      <sz val="11"/>
      <color theme="1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b/>
      <sz val="20"/>
      <color theme="0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0"/>
      <name val="微软雅黑"/>
      <family val="2"/>
      <charset val="134"/>
    </font>
    <font>
      <sz val="9"/>
      <color rgb="FF354E68"/>
      <name val="微软雅黑"/>
      <family val="2"/>
      <charset val="134"/>
    </font>
    <font>
      <sz val="11"/>
      <color rgb="FF354E68"/>
      <name val="新細明體"/>
      <family val="2"/>
      <charset val="134"/>
      <scheme val="minor"/>
    </font>
    <font>
      <b/>
      <sz val="9"/>
      <color rgb="FF354E68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sz val="11"/>
      <color rgb="FF354E68"/>
      <name val="微软雅黑"/>
      <family val="2"/>
      <charset val="134"/>
    </font>
    <font>
      <sz val="11"/>
      <color theme="1"/>
      <name val="微软雅黑"/>
      <family val="2"/>
      <charset val="134"/>
    </font>
    <font>
      <sz val="6"/>
      <color rgb="FF354E68"/>
      <name val="微软雅黑"/>
      <family val="2"/>
      <charset val="134"/>
    </font>
    <font>
      <sz val="9"/>
      <color rgb="FFD15680"/>
      <name val="微软雅黑"/>
      <family val="2"/>
      <charset val="134"/>
    </font>
    <font>
      <sz val="7"/>
      <color rgb="FF354E68"/>
      <name val="微软雅黑"/>
      <family val="2"/>
      <charset val="134"/>
    </font>
    <font>
      <b/>
      <sz val="9"/>
      <color rgb="FFD1568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354E68"/>
        <bgColor indexed="64"/>
      </patternFill>
    </fill>
    <fill>
      <patternFill patternType="solid">
        <fgColor rgb="FFD1568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354E68"/>
      </bottom>
      <diagonal/>
    </border>
    <border>
      <left/>
      <right/>
      <top/>
      <bottom style="thick">
        <color rgb="FF354E68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rgb="FFD15680"/>
      </left>
      <right/>
      <top/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>
      <alignment vertical="center"/>
    </xf>
    <xf numFmtId="0" fontId="5" fillId="0" borderId="0" xfId="0" applyFont="1">
      <alignment vertical="center"/>
    </xf>
    <xf numFmtId="0" fontId="5" fillId="4" borderId="0" xfId="0" applyFont="1" applyFill="1">
      <alignment vertical="center"/>
    </xf>
    <xf numFmtId="0" fontId="5" fillId="0" borderId="0" xfId="0" applyFont="1" applyFill="1" applyAlignment="1">
      <alignment horizontal="left" vertical="center" indent="1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>
      <alignment vertical="center"/>
    </xf>
    <xf numFmtId="0" fontId="11" fillId="0" borderId="0" xfId="0" applyFont="1">
      <alignment vertical="center"/>
    </xf>
    <xf numFmtId="0" fontId="8" fillId="3" borderId="3" xfId="0" applyFont="1" applyFill="1" applyBorder="1">
      <alignment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Border="1">
      <alignment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176" fontId="5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6" fontId="13" fillId="0" borderId="0" xfId="0" applyNumberFormat="1" applyFont="1" applyAlignment="1">
      <alignment horizontal="right" vertical="center" indent="1"/>
    </xf>
    <xf numFmtId="177" fontId="13" fillId="0" borderId="0" xfId="0" applyNumberFormat="1" applyFont="1" applyAlignment="1">
      <alignment horizontal="right" vertical="center" indent="1"/>
    </xf>
    <xf numFmtId="0" fontId="5" fillId="0" borderId="0" xfId="0" applyFont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5" fillId="4" borderId="0" xfId="0" applyFont="1" applyFill="1" applyAlignment="1">
      <alignment horizontal="center" vertical="center"/>
    </xf>
    <xf numFmtId="0" fontId="15" fillId="0" borderId="4" xfId="0" applyFont="1" applyBorder="1" applyAlignment="1">
      <alignment horizontal="left" vertical="center" indent="1"/>
    </xf>
    <xf numFmtId="0" fontId="15" fillId="0" borderId="0" xfId="0" applyFont="1" applyBorder="1" applyAlignment="1">
      <alignment horizontal="left" vertical="center" indent="1"/>
    </xf>
    <xf numFmtId="177" fontId="13" fillId="4" borderId="0" xfId="0" applyNumberFormat="1" applyFont="1" applyFill="1" applyAlignment="1">
      <alignment horizontal="right" vertical="center" indent="1"/>
    </xf>
    <xf numFmtId="0" fontId="12" fillId="0" borderId="4" xfId="0" applyFont="1" applyBorder="1" applyAlignment="1">
      <alignment horizontal="left" vertical="center" indent="1"/>
    </xf>
    <xf numFmtId="0" fontId="12" fillId="0" borderId="0" xfId="0" applyFont="1" applyBorder="1" applyAlignment="1">
      <alignment horizontal="left" vertical="center" indent="1"/>
    </xf>
    <xf numFmtId="177" fontId="5" fillId="4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7" fontId="5" fillId="4" borderId="0" xfId="0" applyNumberFormat="1" applyFont="1" applyFill="1" applyAlignment="1">
      <alignment horizontal="right" vertical="center" indent="1"/>
    </xf>
    <xf numFmtId="177" fontId="4" fillId="2" borderId="0" xfId="0" applyNumberFormat="1" applyFont="1" applyFill="1" applyAlignment="1">
      <alignment horizontal="right" vertical="center" indent="1"/>
    </xf>
    <xf numFmtId="0" fontId="7" fillId="0" borderId="0" xfId="0" applyFont="1" applyAlignment="1">
      <alignment horizontal="left" vertical="center" inden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 indent="1"/>
    </xf>
    <xf numFmtId="14" fontId="5" fillId="4" borderId="0" xfId="0" applyNumberFormat="1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 indent="1"/>
    </xf>
    <xf numFmtId="0" fontId="5" fillId="4" borderId="0" xfId="0" applyFont="1" applyFill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right" vertical="center" indent="1"/>
    </xf>
    <xf numFmtId="0" fontId="9" fillId="3" borderId="0" xfId="0" applyFont="1" applyFill="1" applyAlignment="1">
      <alignment horizontal="center" vertical="center"/>
    </xf>
    <xf numFmtId="177" fontId="9" fillId="3" borderId="0" xfId="0" applyNumberFormat="1" applyFont="1" applyFill="1" applyAlignment="1">
      <alignment horizontal="right" vertical="center" indent="1"/>
    </xf>
    <xf numFmtId="0" fontId="14" fillId="0" borderId="0" xfId="0" applyFont="1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D15680"/>
      <color rgb="FF354E68"/>
      <color rgb="FFF5F5F5"/>
      <color rgb="FF47B1B9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438150</xdr:colOff>
      <xdr:row>1</xdr:row>
      <xdr:rowOff>9524</xdr:rowOff>
    </xdr:from>
    <xdr:ext cx="477310" cy="565589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99FEA810-25FE-4FD9-8F07-974FCFFD8C83}"/>
            </a:ext>
          </a:extLst>
        </xdr:cNvPr>
        <xdr:cNvSpPr txBox="1"/>
      </xdr:nvSpPr>
      <xdr:spPr>
        <a:xfrm>
          <a:off x="1752600" y="123824"/>
          <a:ext cx="477310" cy="5655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CN" sz="2800" b="1">
              <a:ln w="6350">
                <a:solidFill>
                  <a:srgbClr val="F5F5F5"/>
                </a:solidFill>
              </a:ln>
              <a:solidFill>
                <a:srgbClr val="354E68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Q</a:t>
          </a:r>
          <a:endParaRPr lang="zh-CN" altLang="en-US" sz="2800" b="1">
            <a:ln w="6350">
              <a:solidFill>
                <a:srgbClr val="F5F5F5"/>
              </a:solidFill>
            </a:ln>
            <a:solidFill>
              <a:srgbClr val="354E68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oneCellAnchor>
  <xdr:twoCellAnchor>
    <xdr:from>
      <xdr:col>6</xdr:col>
      <xdr:colOff>144576</xdr:colOff>
      <xdr:row>2</xdr:row>
      <xdr:rowOff>110558</xdr:rowOff>
    </xdr:from>
    <xdr:to>
      <xdr:col>6</xdr:col>
      <xdr:colOff>348683</xdr:colOff>
      <xdr:row>2</xdr:row>
      <xdr:rowOff>314665</xdr:rowOff>
    </xdr:to>
    <xdr:sp macro="" textlink="">
      <xdr:nvSpPr>
        <xdr:cNvPr id="3" name="箭头: V 形 2">
          <a:extLst>
            <a:ext uri="{FF2B5EF4-FFF2-40B4-BE49-F238E27FC236}">
              <a16:creationId xmlns:a16="http://schemas.microsoft.com/office/drawing/2014/main" id="{58AD3DA8-85C0-4319-87E1-507E532C1A78}"/>
            </a:ext>
          </a:extLst>
        </xdr:cNvPr>
        <xdr:cNvSpPr/>
      </xdr:nvSpPr>
      <xdr:spPr>
        <a:xfrm>
          <a:off x="4073639" y="399710"/>
          <a:ext cx="204107" cy="204107"/>
        </a:xfrm>
        <a:prstGeom prst="chevron">
          <a:avLst/>
        </a:prstGeom>
        <a:solidFill>
          <a:srgbClr val="354E6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7</xdr:col>
      <xdr:colOff>152400</xdr:colOff>
      <xdr:row>54</xdr:row>
      <xdr:rowOff>142875</xdr:rowOff>
    </xdr:from>
    <xdr:to>
      <xdr:col>9</xdr:col>
      <xdr:colOff>340717</xdr:colOff>
      <xdr:row>57</xdr:row>
      <xdr:rowOff>39650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0384F18-131F-4FB8-ACB6-DDF375DF3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2975" y="10448925"/>
          <a:ext cx="1502767" cy="439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123826</xdr:colOff>
      <xdr:row>6</xdr:row>
      <xdr:rowOff>9525</xdr:rowOff>
    </xdr:from>
    <xdr:to>
      <xdr:col>2</xdr:col>
      <xdr:colOff>1</xdr:colOff>
      <xdr:row>11</xdr:row>
      <xdr:rowOff>161925</xdr:rowOff>
    </xdr:to>
    <xdr:sp macro="" textlink="">
      <xdr:nvSpPr>
        <xdr:cNvPr id="2" name="标注: 线形(带边框和强调线) 1">
          <a:extLst>
            <a:ext uri="{FF2B5EF4-FFF2-40B4-BE49-F238E27FC236}">
              <a16:creationId xmlns:a16="http://schemas.microsoft.com/office/drawing/2014/main" id="{F9973C9A-A040-44E5-9013-E2770DE1F407}"/>
            </a:ext>
          </a:extLst>
        </xdr:cNvPr>
        <xdr:cNvSpPr/>
      </xdr:nvSpPr>
      <xdr:spPr>
        <a:xfrm>
          <a:off x="1200151" y="1266825"/>
          <a:ext cx="1733550" cy="1200150"/>
        </a:xfrm>
        <a:prstGeom prst="accentBorderCallout1">
          <a:avLst>
            <a:gd name="adj1" fmla="val 18750"/>
            <a:gd name="adj2" fmla="val -8333"/>
            <a:gd name="adj3" fmla="val -7320"/>
            <a:gd name="adj4" fmla="val -40173"/>
          </a:avLst>
        </a:prstGeom>
        <a:solidFill>
          <a:srgbClr val="354E68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基础信息设置页面，请根据实际情况修改。</a:t>
          </a:r>
          <a:endParaRPr lang="zh-CN" altLang="zh-CN">
            <a:solidFill>
              <a:schemeClr val="bg1"/>
            </a:solidFill>
            <a:effectLst/>
          </a:endParaRPr>
        </a:p>
        <a:p>
          <a:pPr algn="l"/>
          <a:endParaRPr lang="zh-CN" altLang="en-US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showGridLines="0" tabSelected="1" view="pageLayout" zoomScaleNormal="100" workbookViewId="0">
      <selection activeCell="K1" sqref="A1:K1048576"/>
    </sheetView>
  </sheetViews>
  <sheetFormatPr defaultColWidth="9" defaultRowHeight="14.25"/>
  <cols>
    <col min="1" max="7" width="9" style="3"/>
    <col min="8" max="8" width="9" style="3" customWidth="1"/>
    <col min="9" max="16384" width="9" style="3"/>
  </cols>
  <sheetData>
    <row r="1" spans="1:10" ht="9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18" customHeight="1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28.5" customHeight="1">
      <c r="A3" s="26" t="s">
        <v>25</v>
      </c>
      <c r="B3" s="26"/>
      <c r="C3" s="26"/>
      <c r="D3" s="4"/>
      <c r="E3" s="4"/>
      <c r="F3" s="4"/>
      <c r="G3" s="4"/>
      <c r="H3" s="4"/>
      <c r="I3" s="4"/>
      <c r="J3" s="4"/>
    </row>
    <row r="4" spans="1:10" ht="18" customHeight="1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8" customHeight="1">
      <c r="A5" s="25" t="s">
        <v>26</v>
      </c>
      <c r="B5" s="25"/>
      <c r="C5" s="25"/>
      <c r="D5" s="25"/>
      <c r="E5" s="4"/>
      <c r="F5" s="4"/>
      <c r="G5" s="27" t="s">
        <v>27</v>
      </c>
      <c r="H5" s="27"/>
      <c r="I5" s="27"/>
      <c r="J5" s="27"/>
    </row>
    <row r="6" spans="1:10" ht="18" customHeight="1">
      <c r="A6" s="25" t="s">
        <v>28</v>
      </c>
      <c r="B6" s="25"/>
      <c r="C6" s="25"/>
      <c r="D6" s="25"/>
      <c r="E6" s="4"/>
      <c r="F6" s="4"/>
      <c r="G6" s="27" t="s">
        <v>29</v>
      </c>
      <c r="H6" s="27"/>
      <c r="I6" s="27"/>
      <c r="J6" s="27"/>
    </row>
    <row r="7" spans="1:10" ht="18" customHeight="1">
      <c r="A7" s="42" t="s">
        <v>30</v>
      </c>
      <c r="B7" s="42"/>
      <c r="C7" s="42"/>
      <c r="D7" s="42"/>
      <c r="E7" s="4"/>
      <c r="F7" s="4"/>
      <c r="G7" s="42" t="s">
        <v>31</v>
      </c>
      <c r="H7" s="42"/>
      <c r="I7" s="43" t="s">
        <v>1</v>
      </c>
      <c r="J7" s="43"/>
    </row>
    <row r="8" spans="1:10" ht="18" customHeight="1">
      <c r="A8" s="42" t="s">
        <v>3</v>
      </c>
      <c r="B8" s="42"/>
      <c r="C8" s="42"/>
      <c r="D8" s="42"/>
      <c r="E8" s="4"/>
      <c r="F8" s="4"/>
      <c r="G8" s="42" t="s">
        <v>32</v>
      </c>
      <c r="H8" s="42"/>
      <c r="I8" s="41">
        <f ca="1">TODAY()</f>
        <v>43617</v>
      </c>
      <c r="J8" s="41"/>
    </row>
    <row r="9" spans="1:10" ht="18" customHeight="1">
      <c r="A9" s="42" t="s">
        <v>4</v>
      </c>
      <c r="B9" s="42"/>
      <c r="C9" s="42"/>
      <c r="D9" s="42"/>
      <c r="E9" s="4"/>
      <c r="F9" s="4"/>
      <c r="G9" s="42" t="s">
        <v>0</v>
      </c>
      <c r="H9" s="42"/>
      <c r="I9" s="41">
        <f ca="1">TODAY()+7</f>
        <v>43624</v>
      </c>
      <c r="J9" s="41"/>
    </row>
    <row r="10" spans="1:10" ht="18" customHeight="1">
      <c r="A10" s="4"/>
      <c r="B10" s="4"/>
      <c r="C10" s="4"/>
      <c r="D10" s="4"/>
      <c r="E10" s="4"/>
      <c r="F10" s="4"/>
      <c r="G10" s="4"/>
      <c r="H10" s="4"/>
      <c r="I10" s="4"/>
      <c r="J10" s="4"/>
    </row>
    <row r="12" spans="1:10" ht="18" customHeight="1">
      <c r="A12" s="25" t="s">
        <v>33</v>
      </c>
      <c r="B12" s="25"/>
      <c r="C12" s="25"/>
      <c r="D12" s="25"/>
      <c r="E12" s="25"/>
      <c r="F12" s="1" t="s">
        <v>34</v>
      </c>
      <c r="G12" s="39" t="s">
        <v>35</v>
      </c>
      <c r="H12" s="39"/>
      <c r="I12" s="40" t="s">
        <v>36</v>
      </c>
      <c r="J12" s="40"/>
    </row>
    <row r="13" spans="1:10" s="6" customFormat="1" ht="6" customHeight="1">
      <c r="A13" s="5"/>
      <c r="B13" s="5"/>
      <c r="C13" s="5"/>
      <c r="D13" s="5"/>
      <c r="E13" s="5"/>
      <c r="H13" s="7"/>
    </row>
    <row r="14" spans="1:10" ht="18" customHeight="1">
      <c r="A14" s="29" t="s">
        <v>33</v>
      </c>
      <c r="B14" s="30"/>
      <c r="C14" s="30"/>
      <c r="D14" s="30"/>
      <c r="E14" s="30"/>
      <c r="F14" s="17">
        <v>12</v>
      </c>
      <c r="G14" s="34">
        <v>123</v>
      </c>
      <c r="H14" s="34"/>
      <c r="I14" s="31">
        <f>F14*G14</f>
        <v>1476</v>
      </c>
      <c r="J14" s="31"/>
    </row>
    <row r="15" spans="1:10" ht="18" customHeight="1">
      <c r="A15" s="32" t="s">
        <v>37</v>
      </c>
      <c r="B15" s="33"/>
      <c r="C15" s="33"/>
      <c r="D15" s="33"/>
      <c r="E15" s="33"/>
      <c r="F15" s="18" t="s">
        <v>7</v>
      </c>
      <c r="G15" s="34"/>
      <c r="H15" s="34"/>
      <c r="I15" s="31"/>
      <c r="J15" s="31"/>
    </row>
    <row r="16" spans="1:10" ht="6" customHeight="1">
      <c r="A16" s="8"/>
      <c r="B16" s="8"/>
      <c r="C16" s="8"/>
      <c r="D16" s="8"/>
      <c r="E16" s="8"/>
      <c r="F16" s="9"/>
      <c r="G16" s="20"/>
      <c r="H16" s="20"/>
      <c r="I16" s="22"/>
      <c r="J16" s="22"/>
    </row>
    <row r="17" spans="1:10" ht="18" customHeight="1">
      <c r="A17" s="29" t="s">
        <v>33</v>
      </c>
      <c r="B17" s="30"/>
      <c r="C17" s="30"/>
      <c r="D17" s="30"/>
      <c r="E17" s="30"/>
      <c r="F17" s="17">
        <v>334</v>
      </c>
      <c r="G17" s="34">
        <v>44</v>
      </c>
      <c r="H17" s="34"/>
      <c r="I17" s="31">
        <f>F17*G17</f>
        <v>14696</v>
      </c>
      <c r="J17" s="31"/>
    </row>
    <row r="18" spans="1:10" ht="18" customHeight="1">
      <c r="A18" s="32" t="s">
        <v>38</v>
      </c>
      <c r="B18" s="33"/>
      <c r="C18" s="33"/>
      <c r="D18" s="33"/>
      <c r="E18" s="33"/>
      <c r="F18" s="18" t="s">
        <v>39</v>
      </c>
      <c r="G18" s="34"/>
      <c r="H18" s="34"/>
      <c r="I18" s="31"/>
      <c r="J18" s="31"/>
    </row>
    <row r="19" spans="1:10" ht="6" customHeight="1">
      <c r="A19" s="8"/>
      <c r="B19" s="8"/>
      <c r="C19" s="8"/>
      <c r="D19" s="8"/>
      <c r="E19" s="8"/>
      <c r="F19" s="9"/>
      <c r="G19" s="21"/>
      <c r="H19" s="21"/>
      <c r="I19" s="23"/>
      <c r="J19" s="23"/>
    </row>
    <row r="20" spans="1:10" ht="18" customHeight="1">
      <c r="A20" s="29" t="s">
        <v>33</v>
      </c>
      <c r="B20" s="30"/>
      <c r="C20" s="30"/>
      <c r="D20" s="30"/>
      <c r="E20" s="30"/>
      <c r="F20" s="17">
        <v>456</v>
      </c>
      <c r="G20" s="34">
        <v>23</v>
      </c>
      <c r="H20" s="34"/>
      <c r="I20" s="31">
        <f>F20*G20</f>
        <v>10488</v>
      </c>
      <c r="J20" s="31"/>
    </row>
    <row r="21" spans="1:10" ht="18" customHeight="1">
      <c r="A21" s="32" t="s">
        <v>37</v>
      </c>
      <c r="B21" s="33"/>
      <c r="C21" s="33"/>
      <c r="D21" s="33"/>
      <c r="E21" s="33"/>
      <c r="F21" s="18" t="s">
        <v>10</v>
      </c>
      <c r="G21" s="34"/>
      <c r="H21" s="34"/>
      <c r="I21" s="31"/>
      <c r="J21" s="31"/>
    </row>
    <row r="22" spans="1:10" ht="6" customHeight="1">
      <c r="A22" s="8"/>
      <c r="B22" s="8"/>
      <c r="C22" s="8"/>
      <c r="D22" s="8"/>
      <c r="E22" s="8"/>
      <c r="F22" s="9"/>
      <c r="G22" s="21"/>
      <c r="H22" s="21"/>
      <c r="I22" s="23"/>
      <c r="J22" s="23"/>
    </row>
    <row r="23" spans="1:10" ht="18" customHeight="1">
      <c r="A23" s="29" t="s">
        <v>33</v>
      </c>
      <c r="B23" s="30"/>
      <c r="C23" s="30"/>
      <c r="D23" s="30"/>
      <c r="E23" s="30"/>
      <c r="F23" s="17">
        <v>778</v>
      </c>
      <c r="G23" s="34">
        <v>45</v>
      </c>
      <c r="H23" s="34"/>
      <c r="I23" s="31">
        <f>F23*G23</f>
        <v>35010</v>
      </c>
      <c r="J23" s="31"/>
    </row>
    <row r="24" spans="1:10" ht="18" customHeight="1">
      <c r="A24" s="32" t="s">
        <v>37</v>
      </c>
      <c r="B24" s="33"/>
      <c r="C24" s="33"/>
      <c r="D24" s="33"/>
      <c r="E24" s="33"/>
      <c r="F24" s="18" t="s">
        <v>39</v>
      </c>
      <c r="G24" s="34"/>
      <c r="H24" s="34"/>
      <c r="I24" s="31"/>
      <c r="J24" s="31"/>
    </row>
    <row r="25" spans="1:10" ht="6" customHeight="1">
      <c r="A25" s="8"/>
      <c r="B25" s="8"/>
      <c r="C25" s="8"/>
      <c r="D25" s="8"/>
      <c r="E25" s="8"/>
      <c r="F25" s="9"/>
      <c r="G25" s="21"/>
      <c r="H25" s="21"/>
      <c r="I25" s="23"/>
      <c r="J25" s="23"/>
    </row>
    <row r="26" spans="1:10" ht="18" customHeight="1">
      <c r="A26" s="29" t="s">
        <v>33</v>
      </c>
      <c r="B26" s="30"/>
      <c r="C26" s="30"/>
      <c r="D26" s="30"/>
      <c r="E26" s="30"/>
      <c r="F26" s="17">
        <v>1231</v>
      </c>
      <c r="G26" s="34">
        <v>45</v>
      </c>
      <c r="H26" s="34"/>
      <c r="I26" s="31">
        <f>F26*G26</f>
        <v>55395</v>
      </c>
      <c r="J26" s="31"/>
    </row>
    <row r="27" spans="1:10" ht="18" customHeight="1">
      <c r="A27" s="32" t="s">
        <v>37</v>
      </c>
      <c r="B27" s="33"/>
      <c r="C27" s="33"/>
      <c r="D27" s="33"/>
      <c r="E27" s="33"/>
      <c r="F27" s="18" t="s">
        <v>40</v>
      </c>
      <c r="G27" s="34"/>
      <c r="H27" s="34"/>
      <c r="I27" s="31"/>
      <c r="J27" s="31"/>
    </row>
    <row r="28" spans="1:10" ht="6" customHeight="1">
      <c r="A28" s="8"/>
      <c r="B28" s="8"/>
      <c r="C28" s="8"/>
      <c r="D28" s="8"/>
      <c r="E28" s="8"/>
      <c r="F28" s="9"/>
      <c r="G28" s="21"/>
      <c r="H28" s="21"/>
      <c r="I28" s="23"/>
      <c r="J28" s="23"/>
    </row>
    <row r="29" spans="1:10" ht="18" customHeight="1">
      <c r="A29" s="29" t="s">
        <v>33</v>
      </c>
      <c r="B29" s="30"/>
      <c r="C29" s="30"/>
      <c r="D29" s="30"/>
      <c r="E29" s="30"/>
      <c r="F29" s="17">
        <v>434</v>
      </c>
      <c r="G29" s="34">
        <v>22</v>
      </c>
      <c r="H29" s="34"/>
      <c r="I29" s="31">
        <f>F29*G29</f>
        <v>9548</v>
      </c>
      <c r="J29" s="31"/>
    </row>
    <row r="30" spans="1:10" ht="18" customHeight="1">
      <c r="A30" s="32" t="s">
        <v>37</v>
      </c>
      <c r="B30" s="33"/>
      <c r="C30" s="33"/>
      <c r="D30" s="33"/>
      <c r="E30" s="33"/>
      <c r="F30" s="18" t="s">
        <v>40</v>
      </c>
      <c r="G30" s="34"/>
      <c r="H30" s="34"/>
      <c r="I30" s="31"/>
      <c r="J30" s="31"/>
    </row>
    <row r="31" spans="1:10" ht="6" customHeight="1">
      <c r="A31" s="8"/>
      <c r="B31" s="8"/>
      <c r="C31" s="8"/>
      <c r="D31" s="8"/>
      <c r="E31" s="8"/>
      <c r="F31" s="9"/>
      <c r="G31" s="21"/>
      <c r="H31" s="21"/>
      <c r="I31" s="23"/>
      <c r="J31" s="23"/>
    </row>
    <row r="32" spans="1:10" ht="18" customHeight="1">
      <c r="A32" s="29" t="s">
        <v>33</v>
      </c>
      <c r="B32" s="30"/>
      <c r="C32" s="30"/>
      <c r="D32" s="30"/>
      <c r="E32" s="30"/>
      <c r="F32" s="17">
        <v>56</v>
      </c>
      <c r="G32" s="34">
        <v>12</v>
      </c>
      <c r="H32" s="34"/>
      <c r="I32" s="31">
        <f>F32*G32</f>
        <v>672</v>
      </c>
      <c r="J32" s="31"/>
    </row>
    <row r="33" spans="1:10" ht="18" customHeight="1">
      <c r="A33" s="32" t="s">
        <v>37</v>
      </c>
      <c r="B33" s="33"/>
      <c r="C33" s="33"/>
      <c r="D33" s="33"/>
      <c r="E33" s="33"/>
      <c r="F33" s="18" t="s">
        <v>7</v>
      </c>
      <c r="G33" s="34"/>
      <c r="H33" s="34"/>
      <c r="I33" s="31"/>
      <c r="J33" s="31"/>
    </row>
    <row r="34" spans="1:10" ht="6" customHeight="1">
      <c r="A34" s="8"/>
      <c r="B34" s="8"/>
      <c r="C34" s="8"/>
      <c r="D34" s="8"/>
      <c r="E34" s="8"/>
      <c r="F34" s="9"/>
      <c r="G34" s="21"/>
      <c r="H34" s="21"/>
      <c r="I34" s="23"/>
      <c r="J34" s="23"/>
    </row>
    <row r="35" spans="1:10" ht="18" customHeight="1">
      <c r="A35" s="29" t="s">
        <v>33</v>
      </c>
      <c r="B35" s="30"/>
      <c r="C35" s="30"/>
      <c r="D35" s="30"/>
      <c r="E35" s="30"/>
      <c r="F35" s="17">
        <v>456</v>
      </c>
      <c r="G35" s="34">
        <v>23</v>
      </c>
      <c r="H35" s="34"/>
      <c r="I35" s="31">
        <f>F35*G35</f>
        <v>10488</v>
      </c>
      <c r="J35" s="31"/>
    </row>
    <row r="36" spans="1:10" ht="18" customHeight="1">
      <c r="A36" s="32" t="s">
        <v>37</v>
      </c>
      <c r="B36" s="33"/>
      <c r="C36" s="33"/>
      <c r="D36" s="33"/>
      <c r="E36" s="33"/>
      <c r="F36" s="18" t="s">
        <v>10</v>
      </c>
      <c r="G36" s="34"/>
      <c r="H36" s="34"/>
      <c r="I36" s="31"/>
      <c r="J36" s="31"/>
    </row>
    <row r="37" spans="1:10" ht="6" customHeight="1">
      <c r="A37" s="8"/>
      <c r="B37" s="8"/>
      <c r="C37" s="8"/>
      <c r="D37" s="8"/>
      <c r="E37" s="8"/>
      <c r="F37" s="9"/>
      <c r="G37" s="21"/>
      <c r="H37" s="21"/>
      <c r="I37" s="23"/>
      <c r="J37" s="23"/>
    </row>
    <row r="38" spans="1:10" ht="18" customHeight="1">
      <c r="A38" s="29" t="s">
        <v>41</v>
      </c>
      <c r="B38" s="30"/>
      <c r="C38" s="30"/>
      <c r="D38" s="30"/>
      <c r="E38" s="30"/>
      <c r="F38" s="17">
        <v>2</v>
      </c>
      <c r="G38" s="34">
        <v>45678</v>
      </c>
      <c r="H38" s="34"/>
      <c r="I38" s="31">
        <f>F38*G38</f>
        <v>91356</v>
      </c>
      <c r="J38" s="31"/>
    </row>
    <row r="39" spans="1:10" ht="18" customHeight="1">
      <c r="A39" s="32" t="s">
        <v>37</v>
      </c>
      <c r="B39" s="33"/>
      <c r="C39" s="33"/>
      <c r="D39" s="33"/>
      <c r="E39" s="33"/>
      <c r="F39" s="18" t="s">
        <v>42</v>
      </c>
      <c r="G39" s="34"/>
      <c r="H39" s="34"/>
      <c r="I39" s="31"/>
      <c r="J39" s="31"/>
    </row>
    <row r="40" spans="1:10" ht="6" customHeight="1" thickBot="1">
      <c r="A40" s="10"/>
      <c r="B40" s="10"/>
      <c r="C40" s="10"/>
      <c r="D40" s="10"/>
      <c r="E40" s="10"/>
      <c r="F40" s="10"/>
      <c r="G40" s="10"/>
      <c r="H40" s="10"/>
      <c r="I40" s="10"/>
      <c r="J40" s="10"/>
    </row>
    <row r="41" spans="1:10" ht="6" customHeight="1" thickTop="1"/>
    <row r="42" spans="1:10" ht="18" customHeight="1">
      <c r="A42" s="38" t="s">
        <v>5</v>
      </c>
      <c r="B42" s="38"/>
      <c r="C42" s="44" t="s">
        <v>43</v>
      </c>
      <c r="D42" s="44"/>
      <c r="F42" s="28" t="s">
        <v>44</v>
      </c>
      <c r="G42" s="28"/>
      <c r="H42" s="36">
        <f>SUM(I14:J39)</f>
        <v>229129</v>
      </c>
      <c r="I42" s="36"/>
      <c r="J42" s="36"/>
    </row>
    <row r="43" spans="1:10" ht="18" customHeight="1">
      <c r="A43" s="45" t="s">
        <v>24</v>
      </c>
      <c r="B43" s="45"/>
      <c r="C43" s="46" t="str">
        <f>IFERROR(HLOOKUP(A43,设置!B4:M5,2,0),"")</f>
        <v>wxid_123456</v>
      </c>
      <c r="D43" s="46"/>
      <c r="F43" s="28" t="s">
        <v>45</v>
      </c>
      <c r="G43" s="28"/>
      <c r="H43" s="36">
        <f>H42*设置!B2</f>
        <v>38951.93</v>
      </c>
      <c r="I43" s="36"/>
      <c r="J43" s="36"/>
    </row>
    <row r="44" spans="1:10" ht="18" customHeight="1">
      <c r="A44" s="38" t="s">
        <v>46</v>
      </c>
      <c r="B44" s="38"/>
      <c r="F44" s="35" t="s">
        <v>2</v>
      </c>
      <c r="G44" s="35"/>
      <c r="H44" s="37">
        <f>SUM(H42:J43)*设置!B3</f>
        <v>8042.4278999999997</v>
      </c>
      <c r="I44" s="37"/>
      <c r="J44" s="37"/>
    </row>
    <row r="45" spans="1:10" ht="25.5" customHeight="1">
      <c r="A45" s="45" t="s">
        <v>47</v>
      </c>
      <c r="B45" s="45"/>
      <c r="C45" s="45"/>
      <c r="D45" s="45"/>
      <c r="F45" s="49" t="s">
        <v>48</v>
      </c>
      <c r="G45" s="49"/>
      <c r="H45" s="50">
        <f>H42+H43-H44</f>
        <v>260038.50209999998</v>
      </c>
      <c r="I45" s="50"/>
      <c r="J45" s="50"/>
    </row>
    <row r="47" spans="1:10">
      <c r="A47" s="38" t="s">
        <v>49</v>
      </c>
      <c r="B47" s="38"/>
      <c r="C47" s="38"/>
      <c r="D47" s="38"/>
    </row>
    <row r="48" spans="1:10">
      <c r="A48" s="51" t="s">
        <v>50</v>
      </c>
      <c r="B48" s="51"/>
      <c r="C48" s="51"/>
      <c r="D48" s="51"/>
      <c r="E48" s="51"/>
      <c r="F48" s="51"/>
      <c r="G48" s="51"/>
      <c r="H48" s="51"/>
      <c r="I48" s="51"/>
      <c r="J48" s="51"/>
    </row>
    <row r="49" spans="1:10">
      <c r="A49" s="51" t="s">
        <v>51</v>
      </c>
      <c r="B49" s="51"/>
      <c r="C49" s="51"/>
      <c r="D49" s="51"/>
      <c r="E49" s="51"/>
      <c r="F49" s="51"/>
      <c r="G49" s="51"/>
      <c r="H49" s="51"/>
      <c r="I49" s="51"/>
      <c r="J49" s="51"/>
    </row>
    <row r="50" spans="1:10">
      <c r="A50" s="51" t="s">
        <v>52</v>
      </c>
      <c r="B50" s="51"/>
      <c r="C50" s="51"/>
      <c r="D50" s="51"/>
      <c r="E50" s="51"/>
      <c r="F50" s="51"/>
      <c r="G50" s="51"/>
      <c r="H50" s="51"/>
      <c r="I50" s="51"/>
      <c r="J50" s="51"/>
    </row>
    <row r="54" spans="1:10">
      <c r="A54" s="24" t="s">
        <v>53</v>
      </c>
      <c r="H54" s="3" t="s">
        <v>54</v>
      </c>
    </row>
    <row r="57" spans="1:10">
      <c r="A57" s="16"/>
      <c r="B57" s="16"/>
      <c r="C57" s="16"/>
      <c r="D57" s="16"/>
      <c r="E57" s="16"/>
      <c r="F57" s="16"/>
      <c r="G57" s="16"/>
      <c r="H57" s="16"/>
      <c r="I57" s="16"/>
      <c r="J57" s="16"/>
    </row>
    <row r="58" spans="1:10">
      <c r="A58" s="16"/>
      <c r="B58" s="16"/>
      <c r="C58" s="16"/>
      <c r="D58" s="16"/>
      <c r="E58" s="16"/>
      <c r="F58" s="16"/>
      <c r="G58" s="16"/>
      <c r="H58" s="16"/>
      <c r="I58" s="16"/>
      <c r="J58" s="16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s="19" customFormat="1">
      <c r="A60" s="47" t="s">
        <v>55</v>
      </c>
      <c r="B60" s="47"/>
      <c r="C60" s="47"/>
      <c r="D60" s="47"/>
      <c r="E60" s="47"/>
      <c r="F60" s="35" t="s">
        <v>22</v>
      </c>
      <c r="G60" s="35"/>
      <c r="H60" s="35"/>
      <c r="I60" s="48" t="s">
        <v>23</v>
      </c>
      <c r="J60" s="48"/>
    </row>
    <row r="61" spans="1:10" s="19" customFormat="1">
      <c r="A61" s="47"/>
      <c r="B61" s="47"/>
      <c r="C61" s="47"/>
      <c r="D61" s="47"/>
      <c r="E61" s="47"/>
      <c r="F61" s="35"/>
      <c r="G61" s="35"/>
      <c r="H61" s="35"/>
      <c r="I61" s="48"/>
      <c r="J61" s="48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>
      <c r="A64" s="6"/>
      <c r="B64" s="6"/>
      <c r="C64" s="6"/>
      <c r="D64" s="6"/>
      <c r="E64" s="6"/>
      <c r="F64" s="6"/>
      <c r="G64" s="6"/>
      <c r="H64" s="6"/>
      <c r="I64" s="6"/>
      <c r="J64" s="6"/>
    </row>
  </sheetData>
  <mergeCells count="74">
    <mergeCell ref="A60:E61"/>
    <mergeCell ref="I60:J61"/>
    <mergeCell ref="F60:H61"/>
    <mergeCell ref="A44:B44"/>
    <mergeCell ref="A45:D45"/>
    <mergeCell ref="F45:G45"/>
    <mergeCell ref="H45:J45"/>
    <mergeCell ref="A47:D47"/>
    <mergeCell ref="A48:J48"/>
    <mergeCell ref="A49:J49"/>
    <mergeCell ref="A50:J50"/>
    <mergeCell ref="C42:D42"/>
    <mergeCell ref="A43:B43"/>
    <mergeCell ref="C43:D43"/>
    <mergeCell ref="G9:H9"/>
    <mergeCell ref="A20:E20"/>
    <mergeCell ref="G26:H27"/>
    <mergeCell ref="A23:E23"/>
    <mergeCell ref="I9:J9"/>
    <mergeCell ref="A7:D7"/>
    <mergeCell ref="A8:D8"/>
    <mergeCell ref="A9:D9"/>
    <mergeCell ref="A6:D6"/>
    <mergeCell ref="G6:J6"/>
    <mergeCell ref="I8:J8"/>
    <mergeCell ref="I7:J7"/>
    <mergeCell ref="G7:H7"/>
    <mergeCell ref="G8:H8"/>
    <mergeCell ref="I14:J15"/>
    <mergeCell ref="A12:E12"/>
    <mergeCell ref="G12:H12"/>
    <mergeCell ref="I12:J12"/>
    <mergeCell ref="A14:E14"/>
    <mergeCell ref="A15:E15"/>
    <mergeCell ref="G14:H15"/>
    <mergeCell ref="I20:J21"/>
    <mergeCell ref="A21:E21"/>
    <mergeCell ref="G20:H21"/>
    <mergeCell ref="A17:E17"/>
    <mergeCell ref="I17:J18"/>
    <mergeCell ref="A18:E18"/>
    <mergeCell ref="G17:H18"/>
    <mergeCell ref="I23:J24"/>
    <mergeCell ref="A24:E24"/>
    <mergeCell ref="G23:H24"/>
    <mergeCell ref="F44:G44"/>
    <mergeCell ref="H42:J42"/>
    <mergeCell ref="H43:J43"/>
    <mergeCell ref="H44:J44"/>
    <mergeCell ref="F43:G43"/>
    <mergeCell ref="I38:J39"/>
    <mergeCell ref="A39:E39"/>
    <mergeCell ref="A35:E35"/>
    <mergeCell ref="I35:J36"/>
    <mergeCell ref="A36:E36"/>
    <mergeCell ref="G35:H36"/>
    <mergeCell ref="G38:H39"/>
    <mergeCell ref="A42:B42"/>
    <mergeCell ref="A5:D5"/>
    <mergeCell ref="A3:C3"/>
    <mergeCell ref="G5:J5"/>
    <mergeCell ref="F42:G42"/>
    <mergeCell ref="A32:E32"/>
    <mergeCell ref="I32:J33"/>
    <mergeCell ref="A33:E33"/>
    <mergeCell ref="G32:H33"/>
    <mergeCell ref="A29:E29"/>
    <mergeCell ref="I29:J30"/>
    <mergeCell ref="A30:E30"/>
    <mergeCell ref="G29:H30"/>
    <mergeCell ref="A26:E26"/>
    <mergeCell ref="I26:J27"/>
    <mergeCell ref="A27:E27"/>
    <mergeCell ref="A38:E38"/>
  </mergeCells>
  <phoneticPr fontId="1" type="noConversion"/>
  <dataValidations count="1">
    <dataValidation allowBlank="1" showInputMessage="1" showErrorMessage="1" prompt="此表基础数据设置请选择“设置”页" sqref="A1"/>
  </dataValidations>
  <printOptions horizontalCentered="1"/>
  <pageMargins left="0" right="0" top="0" bottom="0" header="0" footer="0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设置!$B$1:$M$1</xm:f>
          </x14:formula1>
          <xm:sqref>F15 F18 F21 F24 F27 F30 F33 F36 F39</xm:sqref>
        </x14:dataValidation>
        <x14:dataValidation type="list" allowBlank="1" showInputMessage="1" showErrorMessage="1">
          <x14:formula1>
            <xm:f>设置!$B$4:$M$4</xm:f>
          </x14:formula1>
          <xm:sqref>A43:B43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workbookViewId="0"/>
  </sheetViews>
  <sheetFormatPr defaultColWidth="9" defaultRowHeight="16.5"/>
  <cols>
    <col min="1" max="1" width="14.140625" style="11" customWidth="1"/>
    <col min="2" max="5" width="24.42578125" style="11" customWidth="1"/>
    <col min="6" max="16384" width="9" style="11"/>
  </cols>
  <sheetData>
    <row r="1" spans="1:23">
      <c r="A1" s="12" t="s">
        <v>6</v>
      </c>
      <c r="B1" s="13" t="s">
        <v>7</v>
      </c>
      <c r="C1" s="13" t="s">
        <v>8</v>
      </c>
      <c r="D1" s="13" t="s">
        <v>9</v>
      </c>
      <c r="E1" s="13" t="s">
        <v>10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1:23">
      <c r="A2" s="12" t="s">
        <v>11</v>
      </c>
      <c r="B2" s="13">
        <v>0.17</v>
      </c>
      <c r="C2" s="13"/>
      <c r="D2" s="13"/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1:23">
      <c r="A3" s="12" t="s">
        <v>12</v>
      </c>
      <c r="B3" s="13">
        <v>0.03</v>
      </c>
      <c r="C3" s="13"/>
      <c r="D3" s="13"/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>
      <c r="A4" s="12" t="s">
        <v>13</v>
      </c>
      <c r="B4" s="13" t="s">
        <v>14</v>
      </c>
      <c r="C4" s="13" t="s">
        <v>15</v>
      </c>
      <c r="D4" s="13" t="s">
        <v>16</v>
      </c>
      <c r="E4" s="13" t="s">
        <v>17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</row>
    <row r="5" spans="1:23">
      <c r="A5" s="12" t="s">
        <v>18</v>
      </c>
      <c r="B5" s="13" t="s">
        <v>19</v>
      </c>
      <c r="C5" s="13">
        <v>123456789</v>
      </c>
      <c r="D5" s="15" t="s">
        <v>20</v>
      </c>
      <c r="E5" s="13" t="s">
        <v>21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表格</vt:lpstr>
      <vt:lpstr>设置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报价单V6</dc:title>
  <dc:creator>不動,E工坊;IX9Viiii</dc:creator>
  <cp:lastModifiedBy>Hank</cp:lastModifiedBy>
  <cp:lastPrinted>2018-09-22T15:32:11Z</cp:lastPrinted>
  <dcterms:created xsi:type="dcterms:W3CDTF">2018-09-22T08:42:12Z</dcterms:created>
  <dcterms:modified xsi:type="dcterms:W3CDTF">2019-06-01T06:54:47Z</dcterms:modified>
</cp:coreProperties>
</file>