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k\Google 雲端硬碟\WP File Download - Template City\Chinese\新增資料夾\1243word70款\70款企业公司报价单Excel模板\Excel模板\編號952207簡約淺藍正規通用報價單excel表模板\"/>
    </mc:Choice>
  </mc:AlternateContent>
  <bookViews>
    <workbookView xWindow="0" yWindow="600" windowWidth="28800" windowHeight="12120"/>
  </bookViews>
  <sheets>
    <sheet name="表單" sheetId="1" r:id="rId1"/>
    <sheet name="设置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K25" i="1"/>
  <c r="K27" i="1"/>
  <c r="K29" i="1"/>
  <c r="K31" i="1"/>
  <c r="K33" i="1"/>
  <c r="K35" i="1"/>
  <c r="K37" i="1"/>
  <c r="K23" i="1"/>
  <c r="J13" i="1" l="1"/>
  <c r="J12" i="1"/>
</calcChain>
</file>

<file path=xl/sharedStrings.xml><?xml version="1.0" encoding="utf-8"?>
<sst xmlns="http://schemas.openxmlformats.org/spreadsheetml/2006/main" count="83" uniqueCount="62">
  <si>
    <t>折扣</t>
    <phoneticPr fontId="1" type="noConversion"/>
  </si>
  <si>
    <t>[ +86 ] 010 12345678</t>
    <phoneticPr fontId="1" type="noConversion"/>
  </si>
  <si>
    <t>有效期至：</t>
    <phoneticPr fontId="1" type="noConversion"/>
  </si>
  <si>
    <t>制 表 人 ：</t>
    <phoneticPr fontId="1" type="noConversion"/>
  </si>
  <si>
    <t>KHN-123458</t>
    <phoneticPr fontId="1" type="noConversion"/>
  </si>
  <si>
    <t>BDN-123457</t>
    <phoneticPr fontId="1" type="noConversion"/>
  </si>
  <si>
    <t>付款方式</t>
    <phoneticPr fontId="1" type="noConversion"/>
  </si>
  <si>
    <t>某某人</t>
    <phoneticPr fontId="1" type="noConversion"/>
  </si>
  <si>
    <t>DDH.20180000</t>
    <phoneticPr fontId="1" type="noConversion"/>
  </si>
  <si>
    <r>
      <rPr>
        <b/>
        <sz val="9"/>
        <color theme="1" tint="0.499984740745262"/>
        <rFont val="微软雅黑"/>
        <family val="2"/>
        <charset val="134"/>
      </rPr>
      <t>P.</t>
    </r>
    <r>
      <rPr>
        <sz val="9"/>
        <color theme="1" tint="0.499984740745262"/>
        <rFont val="微软雅黑"/>
        <family val="2"/>
        <charset val="134"/>
      </rPr>
      <t>（+86）010 12345678</t>
    </r>
    <phoneticPr fontId="1" type="noConversion"/>
  </si>
  <si>
    <r>
      <rPr>
        <b/>
        <sz val="9"/>
        <color theme="1" tint="0.499984740745262"/>
        <rFont val="微软雅黑"/>
        <family val="2"/>
        <charset val="134"/>
      </rPr>
      <t>E.</t>
    </r>
    <r>
      <rPr>
        <sz val="9"/>
        <color theme="1" tint="0.499984740745262"/>
        <rFont val="微软雅黑"/>
        <family val="2"/>
        <charset val="134"/>
      </rPr>
      <t xml:space="preserve">   your@domains.com</t>
    </r>
    <phoneticPr fontId="1" type="noConversion"/>
  </si>
  <si>
    <t>单位设置：</t>
  </si>
  <si>
    <t>件</t>
  </si>
  <si>
    <t>个</t>
  </si>
  <si>
    <t>吨</t>
  </si>
  <si>
    <t>g</t>
  </si>
  <si>
    <t>增值税设置：</t>
  </si>
  <si>
    <t>折扣：</t>
  </si>
  <si>
    <t>货运方式：</t>
    <phoneticPr fontId="1" type="noConversion"/>
  </si>
  <si>
    <t>快递</t>
    <phoneticPr fontId="1" type="noConversion"/>
  </si>
  <si>
    <t>物流</t>
    <phoneticPr fontId="1" type="noConversion"/>
  </si>
  <si>
    <t>付款方式：</t>
    <phoneticPr fontId="1" type="noConversion"/>
  </si>
  <si>
    <t>现金</t>
    <phoneticPr fontId="1" type="noConversion"/>
  </si>
  <si>
    <t>银行转账</t>
    <phoneticPr fontId="1" type="noConversion"/>
  </si>
  <si>
    <t>支付宝</t>
    <phoneticPr fontId="1" type="noConversion"/>
  </si>
  <si>
    <t>微信支付</t>
    <phoneticPr fontId="1" type="noConversion"/>
  </si>
  <si>
    <t>報 價 單  [Quotation]</t>
    <phoneticPr fontId="1" type="noConversion"/>
  </si>
  <si>
    <t>地址：你的省份州市所在地區 123號 [ 附加地址 ]</t>
    <phoneticPr fontId="1" type="noConversion"/>
  </si>
  <si>
    <t>納稅人識別號：123456789012345</t>
    <phoneticPr fontId="1" type="noConversion"/>
  </si>
  <si>
    <t>表單編號：</t>
    <phoneticPr fontId="1" type="noConversion"/>
  </si>
  <si>
    <t>客戶編號：</t>
    <phoneticPr fontId="1" type="noConversion"/>
  </si>
  <si>
    <t>購貨單位：</t>
    <phoneticPr fontId="1" type="noConversion"/>
  </si>
  <si>
    <t>購貨單位名稱 - [ XXX有限責任公司 ]</t>
    <phoneticPr fontId="1" type="noConversion"/>
  </si>
  <si>
    <t>報價日期：</t>
    <phoneticPr fontId="1" type="noConversion"/>
  </si>
  <si>
    <t>[ 連絡人姓名 ]</t>
    <phoneticPr fontId="1" type="noConversion"/>
  </si>
  <si>
    <t>銷售員</t>
    <phoneticPr fontId="1" type="noConversion"/>
  </si>
  <si>
    <t>訂單號</t>
    <phoneticPr fontId="1" type="noConversion"/>
  </si>
  <si>
    <t>貨運方式</t>
    <phoneticPr fontId="1" type="noConversion"/>
  </si>
  <si>
    <t>快遞</t>
    <phoneticPr fontId="1" type="noConversion"/>
  </si>
  <si>
    <t>銀行轉帳</t>
    <phoneticPr fontId="1" type="noConversion"/>
  </si>
  <si>
    <t>客戶需求</t>
    <phoneticPr fontId="1" type="noConversion"/>
  </si>
  <si>
    <t>發貨日期</t>
    <phoneticPr fontId="1" type="noConversion"/>
  </si>
  <si>
    <t>時限</t>
    <phoneticPr fontId="1" type="noConversion"/>
  </si>
  <si>
    <t>無其他需求</t>
    <phoneticPr fontId="1" type="noConversion"/>
  </si>
  <si>
    <t>序號</t>
    <phoneticPr fontId="1" type="noConversion"/>
  </si>
  <si>
    <t>貨物或應稅勞務、服務名稱</t>
    <phoneticPr fontId="1" type="noConversion"/>
  </si>
  <si>
    <t>單位</t>
    <phoneticPr fontId="1" type="noConversion"/>
  </si>
  <si>
    <t>數量</t>
    <phoneticPr fontId="1" type="noConversion"/>
  </si>
  <si>
    <t>單價</t>
    <phoneticPr fontId="1" type="noConversion"/>
  </si>
  <si>
    <t>金額</t>
    <phoneticPr fontId="1" type="noConversion"/>
  </si>
  <si>
    <t>個</t>
    <phoneticPr fontId="1" type="noConversion"/>
  </si>
  <si>
    <t>備註：這裡填寫此項的附加資訊。</t>
    <phoneticPr fontId="1" type="noConversion"/>
  </si>
  <si>
    <t>噸</t>
    <phoneticPr fontId="1" type="noConversion"/>
  </si>
  <si>
    <t>小計</t>
    <phoneticPr fontId="1" type="noConversion"/>
  </si>
  <si>
    <t>稅金</t>
    <phoneticPr fontId="1" type="noConversion"/>
  </si>
  <si>
    <t>合計</t>
    <phoneticPr fontId="1" type="noConversion"/>
  </si>
  <si>
    <t>條款和條例</t>
    <phoneticPr fontId="1" type="noConversion"/>
  </si>
  <si>
    <t>1.按實際情況更改條款和條例內容，此處作為參考。</t>
    <phoneticPr fontId="1" type="noConversion"/>
  </si>
  <si>
    <t>2.按實際情況更改條款和條例內容，此處作為參考。條款和條例內容，此處作為參考。</t>
    <phoneticPr fontId="1" type="noConversion"/>
  </si>
  <si>
    <t>3.按實際情況更改條款和條例內容，此處作為參考。</t>
    <phoneticPr fontId="1" type="noConversion"/>
  </si>
  <si>
    <t>單位蓋章</t>
    <phoneticPr fontId="1" type="noConversion"/>
  </si>
  <si>
    <t>負責人簽字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</si>
</sst>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¥&quot;#,##0.00_);\(&quot;¥&quot;#,##0.00\)"/>
  </numFmts>
  <fonts count="17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9"/>
      <color theme="3" tint="-0.249977111117893"/>
      <name val="微软雅黑"/>
      <family val="2"/>
      <charset val="134"/>
    </font>
    <font>
      <b/>
      <sz val="9"/>
      <color theme="3" tint="-0.249977111117893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 tint="0.14999847407452621"/>
      <name val="微软雅黑"/>
      <family val="2"/>
      <charset val="134"/>
    </font>
    <font>
      <b/>
      <sz val="9"/>
      <color theme="1" tint="0.14999847407452621"/>
      <name val="微软雅黑"/>
      <family val="2"/>
      <charset val="134"/>
    </font>
    <font>
      <sz val="9"/>
      <color theme="1" tint="0.499984740745262"/>
      <name val="微软雅黑"/>
      <family val="2"/>
      <charset val="134"/>
    </font>
    <font>
      <b/>
      <sz val="9"/>
      <color theme="1" tint="0.499984740745262"/>
      <name val="微软雅黑"/>
      <family val="2"/>
      <charset val="134"/>
    </font>
    <font>
      <b/>
      <sz val="24"/>
      <color rgb="FF33CCCC"/>
      <name val="微软雅黑"/>
      <family val="2"/>
      <charset val="134"/>
    </font>
    <font>
      <b/>
      <sz val="11"/>
      <color theme="3" tint="-0.249977111117893"/>
      <name val="微软雅黑"/>
      <family val="2"/>
      <charset val="134"/>
    </font>
    <font>
      <sz val="11"/>
      <color theme="3" tint="-0.249977111117893"/>
      <name val="微软雅黑"/>
      <family val="2"/>
      <charset val="134"/>
    </font>
    <font>
      <b/>
      <sz val="11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1" tint="0.14999847407452621"/>
      </top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3" tint="-0.249977111117893"/>
      </top>
      <bottom style="thin">
        <color theme="1" tint="0.14999847407452621"/>
      </bottom>
      <diagonal/>
    </border>
    <border>
      <left/>
      <right style="thin">
        <color theme="1" tint="0.14999847407452621"/>
      </right>
      <top style="thin">
        <color theme="3" tint="-0.249977111117893"/>
      </top>
      <bottom style="thin">
        <color theme="1" tint="0.14999847407452621"/>
      </bottom>
      <diagonal/>
    </border>
    <border>
      <left style="thin">
        <color theme="3" tint="-0.249977111117893"/>
      </left>
      <right/>
      <top style="thin">
        <color theme="3" tint="-0.249977111117893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3" tint="-0.249977111117893"/>
      </right>
      <top style="thin">
        <color theme="3" tint="-0.249977111117893"/>
      </top>
      <bottom style="thin">
        <color theme="1" tint="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3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0" borderId="4" xfId="0" applyFont="1" applyBorder="1">
      <alignment vertical="center"/>
    </xf>
    <xf numFmtId="0" fontId="6" fillId="0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  <xf numFmtId="0" fontId="6" fillId="0" borderId="6" xfId="0" applyFont="1" applyBorder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9" fillId="3" borderId="6" xfId="0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6" fillId="0" borderId="0" xfId="0" applyFont="1" applyFill="1" applyBorder="1">
      <alignment vertical="center"/>
    </xf>
    <xf numFmtId="0" fontId="6" fillId="2" borderId="0" xfId="0" applyFont="1" applyFill="1" applyBorder="1">
      <alignment vertical="center"/>
    </xf>
    <xf numFmtId="0" fontId="7" fillId="4" borderId="0" xfId="0" applyFont="1" applyFill="1" applyAlignment="1">
      <alignment vertical="center"/>
    </xf>
    <xf numFmtId="0" fontId="7" fillId="4" borderId="11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6" xfId="0" applyFont="1" applyFill="1" applyBorder="1" applyAlignment="1">
      <alignment horizontal="right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6" fillId="0" borderId="14" xfId="0" applyFont="1" applyBorder="1">
      <alignment vertical="center"/>
    </xf>
    <xf numFmtId="0" fontId="15" fillId="0" borderId="17" xfId="0" applyFont="1" applyFill="1" applyBorder="1" applyAlignment="1">
      <alignment horizontal="center" vertical="center"/>
    </xf>
    <xf numFmtId="0" fontId="16" fillId="2" borderId="17" xfId="0" applyFont="1" applyFill="1" applyBorder="1">
      <alignment vertical="center"/>
    </xf>
    <xf numFmtId="0" fontId="8" fillId="2" borderId="0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left" vertical="center" indent="2"/>
    </xf>
    <xf numFmtId="0" fontId="9" fillId="3" borderId="0" xfId="0" applyFont="1" applyFill="1" applyBorder="1" applyAlignment="1">
      <alignment horizontal="left" vertical="center" indent="2"/>
    </xf>
    <xf numFmtId="0" fontId="9" fillId="3" borderId="10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 indent="3"/>
    </xf>
    <xf numFmtId="0" fontId="3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1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8" fillId="2" borderId="0" xfId="0" applyFont="1" applyFill="1" applyAlignment="1">
      <alignment horizontal="left" vertical="center" indent="1"/>
    </xf>
    <xf numFmtId="176" fontId="2" fillId="3" borderId="2" xfId="0" applyNumberFormat="1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right" vertical="center"/>
    </xf>
    <xf numFmtId="176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indent="1"/>
    </xf>
    <xf numFmtId="0" fontId="2" fillId="3" borderId="16" xfId="0" applyFont="1" applyFill="1" applyBorder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33CC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52</xdr:row>
      <xdr:rowOff>95250</xdr:rowOff>
    </xdr:from>
    <xdr:to>
      <xdr:col>10</xdr:col>
      <xdr:colOff>378817</xdr:colOff>
      <xdr:row>54</xdr:row>
      <xdr:rowOff>173000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731AFEC1-04A9-48E2-8A9A-A1E730003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10582275"/>
          <a:ext cx="1502767" cy="439700"/>
        </a:xfrm>
        <a:prstGeom prst="rect">
          <a:avLst/>
        </a:prstGeom>
      </xdr:spPr>
    </xdr:pic>
    <xdr:clientData/>
  </xdr:twoCellAnchor>
  <xdr:oneCellAnchor>
    <xdr:from>
      <xdr:col>1</xdr:col>
      <xdr:colOff>171450</xdr:colOff>
      <xdr:row>47</xdr:row>
      <xdr:rowOff>123825</xdr:rowOff>
    </xdr:from>
    <xdr:ext cx="2347181" cy="292452"/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4C970939-FDF4-45C8-A63A-88C15CDFD704}"/>
            </a:ext>
          </a:extLst>
        </xdr:cNvPr>
        <xdr:cNvSpPr txBox="1"/>
      </xdr:nvSpPr>
      <xdr:spPr>
        <a:xfrm>
          <a:off x="285750" y="9525000"/>
          <a:ext cx="2347181" cy="29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200" b="1">
              <a:solidFill>
                <a:schemeClr val="tx1">
                  <a:lumMod val="85000"/>
                  <a:lumOff val="1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感謝貴公司與我司的真摯合作！</a:t>
          </a:r>
        </a:p>
      </xdr:txBody>
    </xdr:sp>
    <xdr:clientData/>
  </xdr:oneCellAnchor>
  <xdr:twoCellAnchor>
    <xdr:from>
      <xdr:col>2</xdr:col>
      <xdr:colOff>9719</xdr:colOff>
      <xdr:row>55</xdr:row>
      <xdr:rowOff>6318</xdr:rowOff>
    </xdr:from>
    <xdr:to>
      <xdr:col>4</xdr:col>
      <xdr:colOff>19439</xdr:colOff>
      <xdr:row>56</xdr:row>
      <xdr:rowOff>27214</xdr:rowOff>
    </xdr:to>
    <xdr:sp macro="" textlink="">
      <xdr:nvSpPr>
        <xdr:cNvPr id="19" name="平行四边形 18">
          <a:extLst>
            <a:ext uri="{FF2B5EF4-FFF2-40B4-BE49-F238E27FC236}">
              <a16:creationId xmlns:a16="http://schemas.microsoft.com/office/drawing/2014/main" id="{E9D7DEE8-FEB3-4578-9D88-F45CC94BAFDC}"/>
            </a:ext>
          </a:extLst>
        </xdr:cNvPr>
        <xdr:cNvSpPr/>
      </xdr:nvSpPr>
      <xdr:spPr>
        <a:xfrm>
          <a:off x="353299" y="11072327"/>
          <a:ext cx="1322810" cy="201191"/>
        </a:xfrm>
        <a:prstGeom prst="parallelogram">
          <a:avLst>
            <a:gd name="adj" fmla="val 80173"/>
          </a:avLst>
        </a:prstGeom>
        <a:solidFill>
          <a:srgbClr val="33CC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624328</xdr:colOff>
      <xdr:row>55</xdr:row>
      <xdr:rowOff>6318</xdr:rowOff>
    </xdr:from>
    <xdr:to>
      <xdr:col>4</xdr:col>
      <xdr:colOff>221654</xdr:colOff>
      <xdr:row>56</xdr:row>
      <xdr:rowOff>27214</xdr:rowOff>
    </xdr:to>
    <xdr:sp macro="" textlink="">
      <xdr:nvSpPr>
        <xdr:cNvPr id="20" name="平行四边形 19">
          <a:extLst>
            <a:ext uri="{FF2B5EF4-FFF2-40B4-BE49-F238E27FC236}">
              <a16:creationId xmlns:a16="http://schemas.microsoft.com/office/drawing/2014/main" id="{46B8271C-8553-47FE-962D-4F9F8DC3F9D6}"/>
            </a:ext>
          </a:extLst>
        </xdr:cNvPr>
        <xdr:cNvSpPr/>
      </xdr:nvSpPr>
      <xdr:spPr>
        <a:xfrm>
          <a:off x="1626960" y="11055318"/>
          <a:ext cx="259062" cy="201370"/>
        </a:xfrm>
        <a:prstGeom prst="parallelogram">
          <a:avLst>
            <a:gd name="adj" fmla="val 80173"/>
          </a:avLst>
        </a:prstGeom>
        <a:solidFill>
          <a:srgbClr val="33CC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466726</xdr:colOff>
      <xdr:row>0</xdr:row>
      <xdr:rowOff>90238</xdr:rowOff>
    </xdr:from>
    <xdr:to>
      <xdr:col>11</xdr:col>
      <xdr:colOff>13536</xdr:colOff>
      <xdr:row>3</xdr:row>
      <xdr:rowOff>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CCA32F83-2DA3-4467-B564-8418D45557AD}"/>
            </a:ext>
          </a:extLst>
        </xdr:cNvPr>
        <xdr:cNvSpPr/>
      </xdr:nvSpPr>
      <xdr:spPr>
        <a:xfrm>
          <a:off x="5314951" y="90238"/>
          <a:ext cx="1147010" cy="386012"/>
        </a:xfrm>
        <a:prstGeom prst="rect">
          <a:avLst/>
        </a:prstGeom>
        <a:solidFill>
          <a:srgbClr val="33CC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600075</xdr:colOff>
      <xdr:row>1</xdr:row>
      <xdr:rowOff>123825</xdr:rowOff>
    </xdr:from>
    <xdr:to>
      <xdr:col>10</xdr:col>
      <xdr:colOff>647700</xdr:colOff>
      <xdr:row>1</xdr:row>
      <xdr:rowOff>123825</xdr:rowOff>
    </xdr:to>
    <xdr:cxnSp macro="">
      <xdr:nvCxnSpPr>
        <xdr:cNvPr id="23" name="直接连接符 22">
          <a:extLst>
            <a:ext uri="{FF2B5EF4-FFF2-40B4-BE49-F238E27FC236}">
              <a16:creationId xmlns:a16="http://schemas.microsoft.com/office/drawing/2014/main" id="{8F6879A8-2446-4509-9306-85A346AA3CC5}"/>
            </a:ext>
          </a:extLst>
        </xdr:cNvPr>
        <xdr:cNvCxnSpPr/>
      </xdr:nvCxnSpPr>
      <xdr:spPr>
        <a:xfrm>
          <a:off x="5448300" y="238125"/>
          <a:ext cx="847725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2</xdr:row>
      <xdr:rowOff>47625</xdr:rowOff>
    </xdr:from>
    <xdr:to>
      <xdr:col>10</xdr:col>
      <xdr:colOff>647700</xdr:colOff>
      <xdr:row>2</xdr:row>
      <xdr:rowOff>47625</xdr:rowOff>
    </xdr:to>
    <xdr:cxnSp macro="">
      <xdr:nvCxnSpPr>
        <xdr:cNvPr id="25" name="直接连接符 24">
          <a:extLst>
            <a:ext uri="{FF2B5EF4-FFF2-40B4-BE49-F238E27FC236}">
              <a16:creationId xmlns:a16="http://schemas.microsoft.com/office/drawing/2014/main" id="{5BC3661F-1FFF-4D5F-9DFD-3C59E7AB2A00}"/>
            </a:ext>
          </a:extLst>
        </xdr:cNvPr>
        <xdr:cNvCxnSpPr/>
      </xdr:nvCxnSpPr>
      <xdr:spPr>
        <a:xfrm>
          <a:off x="5448300" y="342900"/>
          <a:ext cx="847725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6</xdr:row>
      <xdr:rowOff>9525</xdr:rowOff>
    </xdr:from>
    <xdr:to>
      <xdr:col>3</xdr:col>
      <xdr:colOff>304800</xdr:colOff>
      <xdr:row>11</xdr:row>
      <xdr:rowOff>161925</xdr:rowOff>
    </xdr:to>
    <xdr:sp macro="" textlink="">
      <xdr:nvSpPr>
        <xdr:cNvPr id="2" name="标注: 线形(带边框和强调线) 1">
          <a:extLst>
            <a:ext uri="{FF2B5EF4-FFF2-40B4-BE49-F238E27FC236}">
              <a16:creationId xmlns:a16="http://schemas.microsoft.com/office/drawing/2014/main" id="{0A4A9AF8-2631-4BD4-B177-69224E7FBEED}"/>
            </a:ext>
          </a:extLst>
        </xdr:cNvPr>
        <xdr:cNvSpPr/>
      </xdr:nvSpPr>
      <xdr:spPr>
        <a:xfrm>
          <a:off x="1200150" y="1981200"/>
          <a:ext cx="1552575" cy="1200150"/>
        </a:xfrm>
        <a:prstGeom prst="accentBorderCallout1">
          <a:avLst>
            <a:gd name="adj1" fmla="val 18750"/>
            <a:gd name="adj2" fmla="val -8333"/>
            <a:gd name="adj3" fmla="val -7320"/>
            <a:gd name="adj4" fmla="val -40173"/>
          </a:avLst>
        </a:prstGeom>
        <a:solidFill>
          <a:srgbClr val="33CCCC"/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基础信息设置页面，请根据实际情况修改。</a:t>
          </a:r>
          <a:endParaRPr lang="zh-CN" altLang="zh-CN">
            <a:solidFill>
              <a:schemeClr val="bg1"/>
            </a:solidFill>
            <a:effectLst/>
          </a:endParaRPr>
        </a:p>
        <a:p>
          <a:pPr algn="l"/>
          <a:endParaRPr lang="zh-CN" altLang="en-US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showGridLines="0" tabSelected="1" view="pageLayout" zoomScaleNormal="100" workbookViewId="0">
      <selection activeCell="N1" sqref="A1:N1048576"/>
    </sheetView>
  </sheetViews>
  <sheetFormatPr defaultColWidth="9" defaultRowHeight="14.25"/>
  <cols>
    <col min="1" max="1" width="1.5703125" style="3" customWidth="1"/>
    <col min="2" max="2" width="3.140625" style="3" customWidth="1"/>
    <col min="3" max="7" width="9" style="3"/>
    <col min="8" max="9" width="8.42578125" style="3" customWidth="1"/>
    <col min="10" max="10" width="11" style="3" bestFit="1" customWidth="1"/>
    <col min="11" max="11" width="11" style="3" customWidth="1"/>
    <col min="12" max="12" width="3.140625" style="3" customWidth="1"/>
    <col min="13" max="13" width="1.5703125" style="3" customWidth="1"/>
    <col min="14" max="16384" width="9" style="3"/>
  </cols>
  <sheetData>
    <row r="1" spans="1:13" ht="9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18"/>
    </row>
    <row r="2" spans="1:13">
      <c r="A2" s="7"/>
      <c r="M2" s="17"/>
    </row>
    <row r="3" spans="1:13" ht="14.25" customHeight="1">
      <c r="A3" s="7"/>
      <c r="H3" s="32" t="s">
        <v>26</v>
      </c>
      <c r="I3" s="32"/>
      <c r="J3" s="32"/>
      <c r="K3" s="32"/>
      <c r="M3" s="17"/>
    </row>
    <row r="4" spans="1:13" ht="14.25" customHeight="1">
      <c r="A4" s="7"/>
      <c r="H4" s="32"/>
      <c r="I4" s="32"/>
      <c r="J4" s="32"/>
      <c r="K4" s="32"/>
      <c r="M4" s="17"/>
    </row>
    <row r="5" spans="1:13">
      <c r="A5" s="7"/>
      <c r="H5" s="32"/>
      <c r="I5" s="32"/>
      <c r="J5" s="32"/>
      <c r="K5" s="32"/>
      <c r="M5" s="17"/>
    </row>
    <row r="6" spans="1:13">
      <c r="A6" s="7"/>
      <c r="H6" s="13"/>
      <c r="I6" s="13"/>
      <c r="J6" s="13"/>
      <c r="K6" s="13"/>
      <c r="M6" s="17"/>
    </row>
    <row r="7" spans="1:13" ht="16.5" customHeight="1">
      <c r="A7" s="7"/>
      <c r="C7" s="13" t="s">
        <v>27</v>
      </c>
      <c r="H7" s="28"/>
      <c r="I7" s="45" t="s">
        <v>28</v>
      </c>
      <c r="J7" s="46"/>
      <c r="K7" s="47"/>
      <c r="M7" s="17"/>
    </row>
    <row r="8" spans="1:13" ht="16.5" customHeight="1">
      <c r="A8" s="7"/>
      <c r="C8" s="13" t="s">
        <v>9</v>
      </c>
      <c r="H8" s="19"/>
      <c r="I8" s="20" t="s">
        <v>29</v>
      </c>
      <c r="J8" s="44" t="s">
        <v>5</v>
      </c>
      <c r="K8" s="44"/>
      <c r="M8" s="17"/>
    </row>
    <row r="9" spans="1:13" ht="16.5" customHeight="1">
      <c r="A9" s="7"/>
      <c r="C9" s="14" t="s">
        <v>10</v>
      </c>
      <c r="H9" s="19"/>
      <c r="I9" s="21" t="s">
        <v>30</v>
      </c>
      <c r="J9" s="44" t="s">
        <v>4</v>
      </c>
      <c r="K9" s="44"/>
      <c r="M9" s="17"/>
    </row>
    <row r="10" spans="1:13" ht="16.5" customHeight="1">
      <c r="A10" s="7"/>
      <c r="C10" s="1"/>
      <c r="I10" s="15"/>
      <c r="M10" s="17"/>
    </row>
    <row r="11" spans="1:13" ht="16.5" customHeight="1">
      <c r="A11" s="7"/>
      <c r="C11" s="4"/>
      <c r="D11" s="4"/>
      <c r="E11" s="4"/>
      <c r="F11" s="4"/>
      <c r="G11" s="4"/>
      <c r="H11" s="4"/>
      <c r="I11" s="16"/>
      <c r="J11" s="4"/>
      <c r="K11" s="4"/>
      <c r="M11" s="17"/>
    </row>
    <row r="12" spans="1:13" ht="16.5" customHeight="1">
      <c r="A12" s="7"/>
      <c r="C12" s="39" t="s">
        <v>31</v>
      </c>
      <c r="D12" s="39"/>
      <c r="E12" s="40" t="s">
        <v>32</v>
      </c>
      <c r="F12" s="40"/>
      <c r="G12" s="40"/>
      <c r="H12" s="4"/>
      <c r="I12" s="22" t="s">
        <v>33</v>
      </c>
      <c r="J12" s="42">
        <f ca="1">TODAY()</f>
        <v>43617</v>
      </c>
      <c r="K12" s="42"/>
      <c r="M12" s="17"/>
    </row>
    <row r="13" spans="1:13" ht="16.5" customHeight="1">
      <c r="A13" s="7"/>
      <c r="C13" s="39"/>
      <c r="D13" s="39"/>
      <c r="E13" s="41" t="s">
        <v>1</v>
      </c>
      <c r="F13" s="41"/>
      <c r="G13" s="41"/>
      <c r="H13" s="4"/>
      <c r="I13" s="22" t="s">
        <v>2</v>
      </c>
      <c r="J13" s="42">
        <f ca="1">TODAY()+7</f>
        <v>43624</v>
      </c>
      <c r="K13" s="42"/>
      <c r="M13" s="17"/>
    </row>
    <row r="14" spans="1:13" ht="16.5" customHeight="1">
      <c r="A14" s="7"/>
      <c r="C14" s="39"/>
      <c r="D14" s="39"/>
      <c r="E14" s="41" t="s">
        <v>34</v>
      </c>
      <c r="F14" s="41"/>
      <c r="G14" s="41"/>
      <c r="H14" s="4"/>
      <c r="I14" s="22" t="s">
        <v>3</v>
      </c>
      <c r="J14" s="43"/>
      <c r="K14" s="43"/>
      <c r="M14" s="17"/>
    </row>
    <row r="15" spans="1:13" ht="16.5" customHeight="1">
      <c r="A15" s="7"/>
      <c r="C15" s="4"/>
      <c r="D15" s="4"/>
      <c r="E15" s="4"/>
      <c r="F15" s="4"/>
      <c r="G15" s="4"/>
      <c r="H15" s="4"/>
      <c r="I15" s="4"/>
      <c r="J15" s="4"/>
      <c r="K15" s="4"/>
      <c r="M15" s="17"/>
    </row>
    <row r="16" spans="1:13" ht="16.5" customHeight="1">
      <c r="A16" s="17"/>
      <c r="C16" s="7"/>
      <c r="D16" s="7"/>
      <c r="E16" s="7"/>
      <c r="F16" s="7"/>
      <c r="G16" s="7"/>
      <c r="H16" s="7"/>
      <c r="I16" s="7"/>
      <c r="J16" s="7"/>
      <c r="K16" s="7"/>
      <c r="M16" s="17"/>
    </row>
    <row r="17" spans="1:13" ht="16.5" customHeight="1">
      <c r="A17" s="17"/>
      <c r="C17" s="33" t="s">
        <v>35</v>
      </c>
      <c r="D17" s="33"/>
      <c r="E17" s="33" t="s">
        <v>36</v>
      </c>
      <c r="F17" s="33"/>
      <c r="G17" s="33"/>
      <c r="H17" s="33" t="s">
        <v>37</v>
      </c>
      <c r="I17" s="33"/>
      <c r="J17" s="33" t="s">
        <v>6</v>
      </c>
      <c r="K17" s="33"/>
      <c r="M17" s="17"/>
    </row>
    <row r="18" spans="1:13" ht="16.5" customHeight="1">
      <c r="A18" s="17"/>
      <c r="C18" s="34" t="s">
        <v>7</v>
      </c>
      <c r="D18" s="34"/>
      <c r="E18" s="34" t="s">
        <v>8</v>
      </c>
      <c r="F18" s="34"/>
      <c r="G18" s="34"/>
      <c r="H18" s="34" t="s">
        <v>38</v>
      </c>
      <c r="I18" s="34"/>
      <c r="J18" s="34" t="s">
        <v>39</v>
      </c>
      <c r="K18" s="34"/>
      <c r="M18" s="17"/>
    </row>
    <row r="19" spans="1:13" ht="16.5" customHeight="1">
      <c r="A19" s="17"/>
      <c r="C19" s="31" t="s">
        <v>40</v>
      </c>
      <c r="D19" s="31"/>
      <c r="E19" s="31"/>
      <c r="F19" s="31"/>
      <c r="G19" s="31"/>
      <c r="H19" s="31" t="s">
        <v>41</v>
      </c>
      <c r="I19" s="31"/>
      <c r="J19" s="31" t="s">
        <v>42</v>
      </c>
      <c r="K19" s="31"/>
      <c r="M19" s="17"/>
    </row>
    <row r="20" spans="1:13" ht="16.5" customHeight="1">
      <c r="A20" s="17"/>
      <c r="C20" s="34" t="s">
        <v>43</v>
      </c>
      <c r="D20" s="34"/>
      <c r="E20" s="34"/>
      <c r="F20" s="34"/>
      <c r="G20" s="34"/>
      <c r="H20" s="34"/>
      <c r="I20" s="34"/>
      <c r="J20" s="34"/>
      <c r="K20" s="34"/>
      <c r="M20" s="17"/>
    </row>
    <row r="21" spans="1:13" ht="7.5" customHeight="1">
      <c r="A21" s="17"/>
      <c r="M21" s="17"/>
    </row>
    <row r="22" spans="1:13" ht="23.25" customHeight="1">
      <c r="A22" s="17"/>
      <c r="C22" s="8" t="s">
        <v>44</v>
      </c>
      <c r="D22" s="48" t="s">
        <v>45</v>
      </c>
      <c r="E22" s="48"/>
      <c r="F22" s="48"/>
      <c r="G22" s="48"/>
      <c r="H22" s="8" t="s">
        <v>46</v>
      </c>
      <c r="I22" s="8" t="s">
        <v>47</v>
      </c>
      <c r="J22" s="8" t="s">
        <v>48</v>
      </c>
      <c r="K22" s="8" t="s">
        <v>49</v>
      </c>
      <c r="M22" s="17"/>
    </row>
    <row r="23" spans="1:13" ht="16.5" customHeight="1">
      <c r="A23" s="17"/>
      <c r="C23" s="60">
        <v>1</v>
      </c>
      <c r="D23" s="62" t="s">
        <v>45</v>
      </c>
      <c r="E23" s="62"/>
      <c r="F23" s="62"/>
      <c r="G23" s="62"/>
      <c r="H23" s="60" t="s">
        <v>50</v>
      </c>
      <c r="I23" s="60">
        <v>1234</v>
      </c>
      <c r="J23" s="61">
        <v>12</v>
      </c>
      <c r="K23" s="61">
        <f>I23*J23</f>
        <v>14808</v>
      </c>
      <c r="M23" s="17"/>
    </row>
    <row r="24" spans="1:13" ht="16.5" customHeight="1">
      <c r="A24" s="17"/>
      <c r="C24" s="60"/>
      <c r="D24" s="63" t="s">
        <v>51</v>
      </c>
      <c r="E24" s="63"/>
      <c r="F24" s="63"/>
      <c r="G24" s="63"/>
      <c r="H24" s="60"/>
      <c r="I24" s="60"/>
      <c r="J24" s="61"/>
      <c r="K24" s="61"/>
      <c r="M24" s="17"/>
    </row>
    <row r="25" spans="1:13" ht="16.5" customHeight="1">
      <c r="A25" s="17"/>
      <c r="C25" s="60">
        <v>2</v>
      </c>
      <c r="D25" s="62" t="s">
        <v>45</v>
      </c>
      <c r="E25" s="62"/>
      <c r="F25" s="62"/>
      <c r="G25" s="62"/>
      <c r="H25" s="60" t="s">
        <v>52</v>
      </c>
      <c r="I25" s="60">
        <v>1</v>
      </c>
      <c r="J25" s="61">
        <v>34561</v>
      </c>
      <c r="K25" s="61">
        <f t="shared" ref="K25" si="0">I25*J25</f>
        <v>34561</v>
      </c>
      <c r="M25" s="17"/>
    </row>
    <row r="26" spans="1:13" ht="16.5" customHeight="1">
      <c r="A26" s="17"/>
      <c r="C26" s="60"/>
      <c r="D26" s="63" t="s">
        <v>51</v>
      </c>
      <c r="E26" s="63"/>
      <c r="F26" s="63"/>
      <c r="G26" s="63"/>
      <c r="H26" s="60"/>
      <c r="I26" s="60"/>
      <c r="J26" s="61"/>
      <c r="K26" s="61"/>
      <c r="M26" s="17"/>
    </row>
    <row r="27" spans="1:13" ht="16.5" customHeight="1">
      <c r="A27" s="17"/>
      <c r="C27" s="60">
        <v>3</v>
      </c>
      <c r="D27" s="62" t="s">
        <v>45</v>
      </c>
      <c r="E27" s="62"/>
      <c r="F27" s="62"/>
      <c r="G27" s="62"/>
      <c r="H27" s="60" t="s">
        <v>50</v>
      </c>
      <c r="I27" s="60">
        <v>1113</v>
      </c>
      <c r="J27" s="61">
        <v>9</v>
      </c>
      <c r="K27" s="61">
        <f t="shared" ref="K27" si="1">I27*J27</f>
        <v>10017</v>
      </c>
      <c r="M27" s="17"/>
    </row>
    <row r="28" spans="1:13" ht="16.5" customHeight="1">
      <c r="A28" s="17"/>
      <c r="C28" s="60"/>
      <c r="D28" s="63" t="s">
        <v>51</v>
      </c>
      <c r="E28" s="63"/>
      <c r="F28" s="63"/>
      <c r="G28" s="63"/>
      <c r="H28" s="60"/>
      <c r="I28" s="60"/>
      <c r="J28" s="61"/>
      <c r="K28" s="61"/>
      <c r="M28" s="17"/>
    </row>
    <row r="29" spans="1:13" ht="16.5" customHeight="1">
      <c r="A29" s="17"/>
      <c r="C29" s="60">
        <v>4</v>
      </c>
      <c r="D29" s="62" t="s">
        <v>45</v>
      </c>
      <c r="E29" s="62"/>
      <c r="F29" s="62"/>
      <c r="G29" s="62"/>
      <c r="H29" s="60" t="s">
        <v>15</v>
      </c>
      <c r="I29" s="60">
        <v>5667</v>
      </c>
      <c r="J29" s="61">
        <v>34</v>
      </c>
      <c r="K29" s="61">
        <f t="shared" ref="K29" si="2">I29*J29</f>
        <v>192678</v>
      </c>
      <c r="M29" s="17"/>
    </row>
    <row r="30" spans="1:13" ht="16.5" customHeight="1">
      <c r="A30" s="17"/>
      <c r="C30" s="60"/>
      <c r="D30" s="63" t="s">
        <v>51</v>
      </c>
      <c r="E30" s="63"/>
      <c r="F30" s="63"/>
      <c r="G30" s="63"/>
      <c r="H30" s="60"/>
      <c r="I30" s="60"/>
      <c r="J30" s="61"/>
      <c r="K30" s="61"/>
      <c r="M30" s="17"/>
    </row>
    <row r="31" spans="1:13" ht="16.5" customHeight="1">
      <c r="A31" s="17"/>
      <c r="C31" s="60">
        <v>5</v>
      </c>
      <c r="D31" s="62" t="s">
        <v>45</v>
      </c>
      <c r="E31" s="62"/>
      <c r="F31" s="62"/>
      <c r="G31" s="62"/>
      <c r="H31" s="60" t="s">
        <v>12</v>
      </c>
      <c r="I31" s="60">
        <v>12</v>
      </c>
      <c r="J31" s="61">
        <v>79</v>
      </c>
      <c r="K31" s="61">
        <f t="shared" ref="K31" si="3">I31*J31</f>
        <v>948</v>
      </c>
      <c r="M31" s="17"/>
    </row>
    <row r="32" spans="1:13" ht="16.5" customHeight="1">
      <c r="A32" s="17"/>
      <c r="C32" s="60"/>
      <c r="D32" s="63" t="s">
        <v>51</v>
      </c>
      <c r="E32" s="63"/>
      <c r="F32" s="63"/>
      <c r="G32" s="63"/>
      <c r="H32" s="60"/>
      <c r="I32" s="60"/>
      <c r="J32" s="61"/>
      <c r="K32" s="61"/>
      <c r="M32" s="17"/>
    </row>
    <row r="33" spans="1:13" ht="16.5" customHeight="1">
      <c r="A33" s="17"/>
      <c r="C33" s="60">
        <v>6</v>
      </c>
      <c r="D33" s="62" t="s">
        <v>45</v>
      </c>
      <c r="E33" s="62"/>
      <c r="F33" s="62"/>
      <c r="G33" s="62"/>
      <c r="H33" s="60" t="s">
        <v>12</v>
      </c>
      <c r="I33" s="60">
        <v>50</v>
      </c>
      <c r="J33" s="61">
        <v>300</v>
      </c>
      <c r="K33" s="61">
        <f t="shared" ref="K33" si="4">I33*J33</f>
        <v>15000</v>
      </c>
      <c r="M33" s="17"/>
    </row>
    <row r="34" spans="1:13" ht="16.5" customHeight="1">
      <c r="A34" s="17"/>
      <c r="C34" s="60"/>
      <c r="D34" s="63" t="s">
        <v>51</v>
      </c>
      <c r="E34" s="63"/>
      <c r="F34" s="63"/>
      <c r="G34" s="63"/>
      <c r="H34" s="60"/>
      <c r="I34" s="60"/>
      <c r="J34" s="61"/>
      <c r="K34" s="61"/>
      <c r="M34" s="17"/>
    </row>
    <row r="35" spans="1:13" ht="16.5" customHeight="1">
      <c r="A35" s="17"/>
      <c r="C35" s="60">
        <v>7</v>
      </c>
      <c r="D35" s="62" t="s">
        <v>45</v>
      </c>
      <c r="E35" s="62"/>
      <c r="F35" s="62"/>
      <c r="G35" s="62"/>
      <c r="H35" s="60" t="s">
        <v>12</v>
      </c>
      <c r="I35" s="60">
        <v>60</v>
      </c>
      <c r="J35" s="61">
        <v>476</v>
      </c>
      <c r="K35" s="61">
        <f t="shared" ref="K35" si="5">I35*J35</f>
        <v>28560</v>
      </c>
      <c r="M35" s="17"/>
    </row>
    <row r="36" spans="1:13" ht="16.5" customHeight="1">
      <c r="A36" s="17"/>
      <c r="C36" s="60"/>
      <c r="D36" s="63" t="s">
        <v>51</v>
      </c>
      <c r="E36" s="63"/>
      <c r="F36" s="63"/>
      <c r="G36" s="63"/>
      <c r="H36" s="60"/>
      <c r="I36" s="60"/>
      <c r="J36" s="61"/>
      <c r="K36" s="61"/>
      <c r="M36" s="17"/>
    </row>
    <row r="37" spans="1:13" ht="16.5" customHeight="1">
      <c r="A37" s="17"/>
      <c r="C37" s="60">
        <v>8</v>
      </c>
      <c r="D37" s="62" t="s">
        <v>45</v>
      </c>
      <c r="E37" s="62"/>
      <c r="F37" s="62"/>
      <c r="G37" s="62"/>
      <c r="H37" s="60" t="s">
        <v>12</v>
      </c>
      <c r="I37" s="60">
        <v>120</v>
      </c>
      <c r="J37" s="61">
        <v>239</v>
      </c>
      <c r="K37" s="61">
        <f t="shared" ref="K37" si="6">I37*J37</f>
        <v>28680</v>
      </c>
      <c r="M37" s="17"/>
    </row>
    <row r="38" spans="1:13" ht="16.5" customHeight="1">
      <c r="A38" s="17"/>
      <c r="C38" s="60"/>
      <c r="D38" s="63" t="s">
        <v>51</v>
      </c>
      <c r="E38" s="63"/>
      <c r="F38" s="63"/>
      <c r="G38" s="63"/>
      <c r="H38" s="60"/>
      <c r="I38" s="60"/>
      <c r="J38" s="61"/>
      <c r="K38" s="61"/>
      <c r="M38" s="17"/>
    </row>
    <row r="39" spans="1:13" ht="16.5" customHeight="1">
      <c r="A39" s="17"/>
      <c r="B39" s="6"/>
      <c r="C39" s="58"/>
      <c r="D39" s="59"/>
      <c r="E39" s="59"/>
      <c r="F39" s="59"/>
      <c r="G39" s="59"/>
      <c r="H39" s="10"/>
      <c r="I39" s="23" t="s">
        <v>53</v>
      </c>
      <c r="J39" s="49">
        <f>SUM(K23:K38)</f>
        <v>325252</v>
      </c>
      <c r="K39" s="50"/>
      <c r="M39" s="17"/>
    </row>
    <row r="40" spans="1:13" ht="16.5" customHeight="1">
      <c r="A40" s="17"/>
      <c r="B40" s="6"/>
      <c r="C40" s="35"/>
      <c r="D40" s="36"/>
      <c r="E40" s="36"/>
      <c r="F40" s="36"/>
      <c r="G40" s="36"/>
      <c r="H40" s="11"/>
      <c r="I40" s="24" t="s">
        <v>54</v>
      </c>
      <c r="J40" s="51">
        <f>J39*设置!B2</f>
        <v>55292.840000000004</v>
      </c>
      <c r="K40" s="52"/>
      <c r="M40" s="17"/>
    </row>
    <row r="41" spans="1:13" ht="16.5" customHeight="1">
      <c r="A41" s="17"/>
      <c r="B41" s="6"/>
      <c r="C41" s="37"/>
      <c r="D41" s="38"/>
      <c r="E41" s="38"/>
      <c r="F41" s="38"/>
      <c r="G41" s="38"/>
      <c r="H41" s="12"/>
      <c r="I41" s="25" t="s">
        <v>0</v>
      </c>
      <c r="J41" s="53">
        <f>SUM(J39:K40)*设置!B3</f>
        <v>11416.3452</v>
      </c>
      <c r="K41" s="54"/>
      <c r="M41" s="17"/>
    </row>
    <row r="42" spans="1:13" ht="27.75" customHeight="1">
      <c r="A42" s="17"/>
      <c r="C42" s="55" t="s">
        <v>55</v>
      </c>
      <c r="D42" s="55"/>
      <c r="E42" s="55"/>
      <c r="F42" s="55"/>
      <c r="G42" s="55"/>
      <c r="H42" s="55"/>
      <c r="I42" s="55"/>
      <c r="J42" s="56">
        <f>SUM(J39:K40)-J41</f>
        <v>369128.49480000004</v>
      </c>
      <c r="K42" s="57"/>
      <c r="M42" s="17"/>
    </row>
    <row r="43" spans="1:13">
      <c r="A43" s="17"/>
      <c r="M43" s="7"/>
    </row>
    <row r="44" spans="1:13">
      <c r="A44" s="17"/>
      <c r="C44" s="26" t="s">
        <v>56</v>
      </c>
      <c r="D44" s="27"/>
      <c r="E44" s="27"/>
      <c r="F44" s="27"/>
      <c r="M44" s="7"/>
    </row>
    <row r="45" spans="1:13">
      <c r="A45" s="17"/>
      <c r="C45" s="27" t="s">
        <v>57</v>
      </c>
      <c r="D45" s="27"/>
      <c r="E45" s="27"/>
      <c r="F45" s="27"/>
      <c r="M45" s="7"/>
    </row>
    <row r="46" spans="1:13">
      <c r="A46" s="17"/>
      <c r="C46" s="27" t="s">
        <v>58</v>
      </c>
      <c r="D46" s="27"/>
      <c r="E46" s="27"/>
      <c r="F46" s="27"/>
      <c r="M46" s="7"/>
    </row>
    <row r="47" spans="1:13">
      <c r="A47" s="17"/>
      <c r="C47" s="27" t="s">
        <v>59</v>
      </c>
      <c r="D47" s="27"/>
      <c r="E47" s="27"/>
      <c r="F47" s="27"/>
      <c r="M47" s="7"/>
    </row>
    <row r="48" spans="1:13">
      <c r="A48" s="17"/>
      <c r="M48" s="7"/>
    </row>
    <row r="49" spans="1:13">
      <c r="A49" s="17"/>
      <c r="M49" s="7"/>
    </row>
    <row r="50" spans="1:13">
      <c r="A50" s="17"/>
      <c r="M50" s="7"/>
    </row>
    <row r="51" spans="1:13">
      <c r="A51" s="17"/>
      <c r="M51" s="7"/>
    </row>
    <row r="52" spans="1:13">
      <c r="A52" s="17"/>
      <c r="F52" s="27" t="s">
        <v>60</v>
      </c>
      <c r="G52" s="27"/>
      <c r="H52" s="27"/>
      <c r="I52" s="27" t="s">
        <v>61</v>
      </c>
      <c r="M52" s="7"/>
    </row>
    <row r="53" spans="1:13">
      <c r="A53" s="17"/>
      <c r="M53" s="7"/>
    </row>
    <row r="54" spans="1:13">
      <c r="A54" s="17"/>
      <c r="M54" s="7"/>
    </row>
    <row r="55" spans="1:13">
      <c r="A55" s="17"/>
      <c r="I55" s="9"/>
      <c r="J55" s="9"/>
      <c r="K55" s="9"/>
      <c r="M55" s="7"/>
    </row>
    <row r="56" spans="1:13">
      <c r="A56" s="17"/>
      <c r="M56" s="7"/>
    </row>
    <row r="57" spans="1:13" ht="9" customHeight="1">
      <c r="A57" s="18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</sheetData>
  <mergeCells count="90">
    <mergeCell ref="C35:C36"/>
    <mergeCell ref="C37:C38"/>
    <mergeCell ref="D23:G23"/>
    <mergeCell ref="D24:G24"/>
    <mergeCell ref="D25:G25"/>
    <mergeCell ref="D26:G26"/>
    <mergeCell ref="D27:G27"/>
    <mergeCell ref="D28:G28"/>
    <mergeCell ref="D29:G29"/>
    <mergeCell ref="D30:G30"/>
    <mergeCell ref="C23:C24"/>
    <mergeCell ref="C25:C26"/>
    <mergeCell ref="C27:C28"/>
    <mergeCell ref="C29:C30"/>
    <mergeCell ref="C31:C32"/>
    <mergeCell ref="C33:C34"/>
    <mergeCell ref="H37:H38"/>
    <mergeCell ref="D31:G31"/>
    <mergeCell ref="D32:G32"/>
    <mergeCell ref="D33:G33"/>
    <mergeCell ref="D34:G34"/>
    <mergeCell ref="D35:G35"/>
    <mergeCell ref="D36:G36"/>
    <mergeCell ref="H27:H28"/>
    <mergeCell ref="H29:H30"/>
    <mergeCell ref="H31:H32"/>
    <mergeCell ref="H33:H34"/>
    <mergeCell ref="H35:H36"/>
    <mergeCell ref="J23:J24"/>
    <mergeCell ref="K23:K24"/>
    <mergeCell ref="I25:I26"/>
    <mergeCell ref="J25:J26"/>
    <mergeCell ref="K25:K26"/>
    <mergeCell ref="J27:J28"/>
    <mergeCell ref="K27:K28"/>
    <mergeCell ref="I29:I30"/>
    <mergeCell ref="J29:J30"/>
    <mergeCell ref="K29:K30"/>
    <mergeCell ref="J31:J32"/>
    <mergeCell ref="K31:K32"/>
    <mergeCell ref="I33:I34"/>
    <mergeCell ref="J33:J34"/>
    <mergeCell ref="K33:K34"/>
    <mergeCell ref="J35:J36"/>
    <mergeCell ref="K35:K36"/>
    <mergeCell ref="I37:I38"/>
    <mergeCell ref="J37:J38"/>
    <mergeCell ref="K37:K38"/>
    <mergeCell ref="J39:K39"/>
    <mergeCell ref="J40:K40"/>
    <mergeCell ref="J41:K41"/>
    <mergeCell ref="C42:I42"/>
    <mergeCell ref="J42:K42"/>
    <mergeCell ref="C39:G39"/>
    <mergeCell ref="C12:D14"/>
    <mergeCell ref="E12:G12"/>
    <mergeCell ref="E13:G13"/>
    <mergeCell ref="E14:G14"/>
    <mergeCell ref="J12:K12"/>
    <mergeCell ref="J13:K13"/>
    <mergeCell ref="J14:K14"/>
    <mergeCell ref="C40:G40"/>
    <mergeCell ref="C41:G41"/>
    <mergeCell ref="C17:D17"/>
    <mergeCell ref="E17:G17"/>
    <mergeCell ref="H17:I17"/>
    <mergeCell ref="C20:G20"/>
    <mergeCell ref="H19:I19"/>
    <mergeCell ref="D22:G22"/>
    <mergeCell ref="I35:I36"/>
    <mergeCell ref="I31:I32"/>
    <mergeCell ref="I27:I28"/>
    <mergeCell ref="I23:I24"/>
    <mergeCell ref="D37:G37"/>
    <mergeCell ref="D38:G38"/>
    <mergeCell ref="H23:H24"/>
    <mergeCell ref="H25:H26"/>
    <mergeCell ref="C18:D18"/>
    <mergeCell ref="E18:G18"/>
    <mergeCell ref="H18:I18"/>
    <mergeCell ref="J18:K18"/>
    <mergeCell ref="C19:G19"/>
    <mergeCell ref="J19:K19"/>
    <mergeCell ref="H3:K5"/>
    <mergeCell ref="J17:K17"/>
    <mergeCell ref="J20:K20"/>
    <mergeCell ref="H20:I20"/>
    <mergeCell ref="J8:K8"/>
    <mergeCell ref="J9:K9"/>
    <mergeCell ref="I7:K7"/>
  </mergeCells>
  <phoneticPr fontId="1" type="noConversion"/>
  <dataValidations count="1">
    <dataValidation allowBlank="1" showInputMessage="1" showErrorMessage="1" prompt="此表基础数据设置请选择“设置”页" sqref="A1"/>
  </dataValidations>
  <printOptions horizontalCentered="1"/>
  <pageMargins left="0.23622047244094491" right="0.23622047244094491" top="0.35433070866141736" bottom="0.35433070866141736" header="0" footer="0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设置!$B$4:$M$4</xm:f>
          </x14:formula1>
          <xm:sqref>H18:I18</xm:sqref>
        </x14:dataValidation>
        <x14:dataValidation type="list" allowBlank="1" showInputMessage="1" showErrorMessage="1">
          <x14:formula1>
            <xm:f>设置!$B$5:$M$5</xm:f>
          </x14:formula1>
          <xm:sqref>J18:K18</xm:sqref>
        </x14:dataValidation>
        <x14:dataValidation type="list" allowBlank="1" showInputMessage="1" showErrorMessage="1">
          <x14:formula1>
            <xm:f>设置!$B$1:$M$1</xm:f>
          </x14:formula1>
          <xm:sqref>H23:H38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F17" sqref="F17"/>
    </sheetView>
  </sheetViews>
  <sheetFormatPr defaultColWidth="9" defaultRowHeight="16.5"/>
  <cols>
    <col min="1" max="1" width="14.140625" style="2" customWidth="1"/>
    <col min="2" max="16384" width="9" style="2"/>
  </cols>
  <sheetData>
    <row r="1" spans="1:5">
      <c r="A1" s="30" t="s">
        <v>11</v>
      </c>
      <c r="B1" s="29" t="s">
        <v>12</v>
      </c>
      <c r="C1" s="29" t="s">
        <v>13</v>
      </c>
      <c r="D1" s="29" t="s">
        <v>14</v>
      </c>
      <c r="E1" s="29" t="s">
        <v>15</v>
      </c>
    </row>
    <row r="2" spans="1:5">
      <c r="A2" s="30" t="s">
        <v>16</v>
      </c>
      <c r="B2" s="29">
        <v>0.17</v>
      </c>
      <c r="C2" s="29"/>
      <c r="D2" s="29"/>
      <c r="E2" s="29"/>
    </row>
    <row r="3" spans="1:5">
      <c r="A3" s="30" t="s">
        <v>17</v>
      </c>
      <c r="B3" s="29">
        <v>0.03</v>
      </c>
      <c r="C3" s="29"/>
      <c r="D3" s="29"/>
      <c r="E3" s="29"/>
    </row>
    <row r="4" spans="1:5">
      <c r="A4" s="30" t="s">
        <v>18</v>
      </c>
      <c r="B4" s="29" t="s">
        <v>19</v>
      </c>
      <c r="C4" s="29" t="s">
        <v>20</v>
      </c>
      <c r="D4" s="29"/>
      <c r="E4" s="29"/>
    </row>
    <row r="5" spans="1:5">
      <c r="A5" s="30" t="s">
        <v>21</v>
      </c>
      <c r="B5" s="29" t="s">
        <v>22</v>
      </c>
      <c r="C5" s="29" t="s">
        <v>23</v>
      </c>
      <c r="D5" s="29" t="s">
        <v>24</v>
      </c>
      <c r="E5" s="29" t="s">
        <v>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表單</vt:lpstr>
      <vt:lpstr>设置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报价单</dc:title>
  <dc:creator>不動,E工坊,IX9Viiii</dc:creator>
  <cp:lastModifiedBy>Hank</cp:lastModifiedBy>
  <cp:lastPrinted>2018-09-18T18:47:50Z</cp:lastPrinted>
  <dcterms:created xsi:type="dcterms:W3CDTF">2018-09-18T14:56:20Z</dcterms:created>
  <dcterms:modified xsi:type="dcterms:W3CDTF">2019-06-01T06:53:50Z</dcterms:modified>
</cp:coreProperties>
</file>